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-24-2026_1TEL-GG-UBA" sheetId="1" state="visible" r:id="rId1"/>
    <sheet name="04-27-2026_1TEL-GG-U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Tray ID</t>
        </is>
      </c>
      <c r="B1" t="inlineStr">
        <is>
          <t>Date Set</t>
        </is>
      </c>
      <c r="C1" t="inlineStr">
        <is>
          <t>Chaperone</t>
        </is>
      </c>
      <c r="D1" t="inlineStr">
        <is>
          <t>Crystal Screen</t>
        </is>
      </c>
      <c r="E1" t="inlineStr">
        <is>
          <t>Protein</t>
        </is>
      </c>
      <c r="F1" t="inlineStr">
        <is>
          <t>Custom Tags</t>
        </is>
      </c>
      <c r="G1" t="inlineStr">
        <is>
          <t>Top Left Protein Concentration</t>
        </is>
      </c>
      <c r="H1" t="inlineStr">
        <is>
          <t>Top Right Protein Concentration</t>
        </is>
      </c>
      <c r="I1" t="inlineStr">
        <is>
          <t>Bottom Left Protein Concentration</t>
        </is>
      </c>
    </row>
    <row r="2">
      <c r="A2" t="n">
        <v>1</v>
      </c>
      <c r="B2" t="inlineStr">
        <is>
          <t>04-24-2026</t>
        </is>
      </c>
      <c r="C2" t="inlineStr">
        <is>
          <t>1TEL</t>
        </is>
      </c>
      <c r="D2" t="inlineStr">
        <is>
          <t>Wizard Screen</t>
        </is>
      </c>
      <c r="E2" t="inlineStr">
        <is>
          <t>1TEL-GG-UBA</t>
        </is>
      </c>
      <c r="F2" t="inlineStr"/>
      <c r="G2" t="n">
        <v>1</v>
      </c>
      <c r="H2" t="n">
        <v>5</v>
      </c>
      <c r="I2" t="n">
        <v>10</v>
      </c>
    </row>
    <row r="4">
      <c r="A4" t="inlineStr">
        <is>
          <t>tray_id</t>
        </is>
      </c>
      <c r="B4" t="inlineStr">
        <is>
          <t>crystal_screen_id</t>
        </is>
      </c>
      <c r="C4" t="inlineStr">
        <is>
          <t>date_set</t>
        </is>
      </c>
      <c r="D4" t="inlineStr">
        <is>
          <t>chaperone</t>
        </is>
      </c>
      <c r="E4" t="inlineStr">
        <is>
          <t>crystal_screen</t>
        </is>
      </c>
      <c r="F4" t="inlineStr">
        <is>
          <t>protein</t>
        </is>
      </c>
      <c r="G4" t="inlineStr">
        <is>
          <t>custom_tags</t>
        </is>
      </c>
      <c r="H4" t="inlineStr">
        <is>
          <t>top_left_protein_concentration</t>
        </is>
      </c>
      <c r="I4" t="inlineStr">
        <is>
          <t>top_right_protein_concentration</t>
        </is>
      </c>
      <c r="J4" t="inlineStr">
        <is>
          <t>bottom_left_protein_concentration</t>
        </is>
      </c>
      <c r="K4" t="inlineStr">
        <is>
          <t>subwell_id</t>
        </is>
      </c>
      <c r="L4" t="inlineStr">
        <is>
          <t>subwell_tray_id</t>
        </is>
      </c>
      <c r="M4" t="inlineStr">
        <is>
          <t>row</t>
        </is>
      </c>
      <c r="N4" t="inlineStr">
        <is>
          <t>column</t>
        </is>
      </c>
      <c r="O4" t="inlineStr">
        <is>
          <t>subwell</t>
        </is>
      </c>
      <c r="P4" t="inlineStr">
        <is>
          <t>picture_path</t>
        </is>
      </c>
      <c r="Q4" t="inlineStr">
        <is>
          <t>conditions</t>
        </is>
      </c>
      <c r="R4" t="inlineStr">
        <is>
          <t>minor_axis</t>
        </is>
      </c>
      <c r="S4" t="inlineStr">
        <is>
          <t>major_axis</t>
        </is>
      </c>
      <c r="T4" t="inlineStr">
        <is>
          <t>number_of_crystals</t>
        </is>
      </c>
      <c r="U4" t="inlineStr">
        <is>
          <t>shape</t>
        </is>
      </c>
      <c r="V4" t="inlineStr">
        <is>
          <t>possible_salt_crystals</t>
        </is>
      </c>
      <c r="W4" t="inlineStr">
        <is>
          <t>precipitation</t>
        </is>
      </c>
      <c r="X4" t="inlineStr">
        <is>
          <t>microcrystals</t>
        </is>
      </c>
      <c r="Y4" t="inlineStr">
        <is>
          <t>glassy_protein_or_artifacts</t>
        </is>
      </c>
      <c r="Z4" t="inlineStr">
        <is>
          <t>harvester</t>
        </is>
      </c>
      <c r="AA4" t="inlineStr">
        <is>
          <t>vial_and_run</t>
        </is>
      </c>
      <c r="AB4" t="inlineStr">
        <is>
          <t>date_snapped</t>
        </is>
      </c>
      <c r="AC4" t="inlineStr">
        <is>
          <t>notes</t>
        </is>
      </c>
    </row>
    <row r="5">
      <c r="A5" t="n">
        <v>1</v>
      </c>
      <c r="B5" t="n">
        <v>1</v>
      </c>
      <c r="C5" t="inlineStr">
        <is>
          <t>04-24-2026</t>
        </is>
      </c>
      <c r="D5" t="inlineStr">
        <is>
          <t>1TEL</t>
        </is>
      </c>
      <c r="E5" t="inlineStr">
        <is>
          <t>Wizard Screen</t>
        </is>
      </c>
      <c r="F5" t="inlineStr">
        <is>
          <t>1TEL-GG-UBA</t>
        </is>
      </c>
      <c r="G5" t="inlineStr"/>
      <c r="H5" t="n">
        <v>1</v>
      </c>
      <c r="I5" t="n">
        <v>5</v>
      </c>
      <c r="J5" t="n">
        <v>10</v>
      </c>
      <c r="K5" t="n">
        <v>3</v>
      </c>
      <c r="L5" t="n">
        <v>1</v>
      </c>
      <c r="M5" t="inlineStr">
        <is>
          <t>H</t>
        </is>
      </c>
      <c r="N5" t="n">
        <v>3</v>
      </c>
      <c r="O5" t="inlineStr">
        <is>
          <t>top_left</t>
        </is>
      </c>
      <c r="P5">
        <f>HYPERLINK("c:\Users\milesjb\Documents\CrystalDex\Resources\Crystal_Pictures\1_H3_top_left.jpg", "Open Image")</f>
        <v/>
      </c>
      <c r="Q5" t="inlineStr">
        <is>
          <t>B12 0.2 M Sodium chloride 0.1 M Tris pH 7.0 35 % v/v (+/-)-2-Methyl-2,4-pentanediol</t>
        </is>
      </c>
      <c r="R5" t="n">
        <v>343</v>
      </c>
      <c r="S5" t="n">
        <v>398</v>
      </c>
      <c r="T5" t="n">
        <v>2</v>
      </c>
      <c r="U5" t="inlineStr">
        <is>
          <t>P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None</t>
        </is>
      </c>
      <c r="AA5" t="inlineStr"/>
      <c r="AB5" t="inlineStr">
        <is>
          <t>04-28-2026</t>
        </is>
      </c>
      <c r="A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Tray ID</t>
        </is>
      </c>
      <c r="B1" t="inlineStr">
        <is>
          <t>Date Set</t>
        </is>
      </c>
      <c r="C1" t="inlineStr">
        <is>
          <t>Chaperone</t>
        </is>
      </c>
      <c r="D1" t="inlineStr">
        <is>
          <t>Crystal Screen</t>
        </is>
      </c>
      <c r="E1" t="inlineStr">
        <is>
          <t>Protein</t>
        </is>
      </c>
      <c r="F1" t="inlineStr">
        <is>
          <t>Custom Tags</t>
        </is>
      </c>
      <c r="G1" t="inlineStr">
        <is>
          <t>Top Left Protein Concentration</t>
        </is>
      </c>
      <c r="H1" t="inlineStr">
        <is>
          <t>Top Right Protein Concentration</t>
        </is>
      </c>
      <c r="I1" t="inlineStr">
        <is>
          <t>Bottom Left Protein Concentration</t>
        </is>
      </c>
    </row>
    <row r="2">
      <c r="A2" t="n">
        <v>25</v>
      </c>
      <c r="B2" t="inlineStr">
        <is>
          <t>04-27-2026</t>
        </is>
      </c>
      <c r="C2" t="inlineStr">
        <is>
          <t>1TEL</t>
        </is>
      </c>
      <c r="D2" t="inlineStr">
        <is>
          <t>Wizard Screen</t>
        </is>
      </c>
      <c r="E2" t="inlineStr">
        <is>
          <t>1TEL-GG-UBA</t>
        </is>
      </c>
      <c r="F2" t="inlineStr"/>
      <c r="G2" t="n">
        <v>1</v>
      </c>
      <c r="H2" t="n">
        <v>0</v>
      </c>
      <c r="I2" t="n">
        <v>0</v>
      </c>
    </row>
    <row r="4">
      <c r="A4" t="inlineStr">
        <is>
          <t>tray_id</t>
        </is>
      </c>
      <c r="B4" t="inlineStr">
        <is>
          <t>crystal_screen_id</t>
        </is>
      </c>
      <c r="C4" t="inlineStr">
        <is>
          <t>date_set</t>
        </is>
      </c>
      <c r="D4" t="inlineStr">
        <is>
          <t>chaperone</t>
        </is>
      </c>
      <c r="E4" t="inlineStr">
        <is>
          <t>crystal_screen</t>
        </is>
      </c>
      <c r="F4" t="inlineStr">
        <is>
          <t>protein</t>
        </is>
      </c>
      <c r="G4" t="inlineStr">
        <is>
          <t>custom_tags</t>
        </is>
      </c>
      <c r="H4" t="inlineStr">
        <is>
          <t>top_left_protein_concentration</t>
        </is>
      </c>
      <c r="I4" t="inlineStr">
        <is>
          <t>top_right_protein_concentration</t>
        </is>
      </c>
      <c r="J4" t="inlineStr">
        <is>
          <t>bottom_left_protein_concentration</t>
        </is>
      </c>
      <c r="K4" t="inlineStr">
        <is>
          <t>subwell_id</t>
        </is>
      </c>
      <c r="L4" t="inlineStr">
        <is>
          <t>subwell_tray_id</t>
        </is>
      </c>
      <c r="M4" t="inlineStr">
        <is>
          <t>row</t>
        </is>
      </c>
      <c r="N4" t="inlineStr">
        <is>
          <t>column</t>
        </is>
      </c>
      <c r="O4" t="inlineStr">
        <is>
          <t>subwell</t>
        </is>
      </c>
      <c r="P4" t="inlineStr">
        <is>
          <t>picture_path</t>
        </is>
      </c>
      <c r="Q4" t="inlineStr">
        <is>
          <t>conditions</t>
        </is>
      </c>
      <c r="R4" t="inlineStr">
        <is>
          <t>minor_axis</t>
        </is>
      </c>
      <c r="S4" t="inlineStr">
        <is>
          <t>major_axis</t>
        </is>
      </c>
      <c r="T4" t="inlineStr">
        <is>
          <t>number_of_crystals</t>
        </is>
      </c>
      <c r="U4" t="inlineStr">
        <is>
          <t>shape</t>
        </is>
      </c>
      <c r="V4" t="inlineStr">
        <is>
          <t>possible_salt_crystals</t>
        </is>
      </c>
      <c r="W4" t="inlineStr">
        <is>
          <t>precipitation</t>
        </is>
      </c>
      <c r="X4" t="inlineStr">
        <is>
          <t>microcrystals</t>
        </is>
      </c>
      <c r="Y4" t="inlineStr">
        <is>
          <t>glassy_protein_or_artifacts</t>
        </is>
      </c>
      <c r="Z4" t="inlineStr">
        <is>
          <t>harvester</t>
        </is>
      </c>
      <c r="AA4" t="inlineStr">
        <is>
          <t>vial_and_run</t>
        </is>
      </c>
      <c r="AB4" t="inlineStr">
        <is>
          <t>date_snapped</t>
        </is>
      </c>
      <c r="AC4" t="inlineStr">
        <is>
          <t>notes</t>
        </is>
      </c>
    </row>
    <row r="5">
      <c r="A5" t="n">
        <v>25</v>
      </c>
      <c r="B5" t="n">
        <v>1</v>
      </c>
      <c r="C5" t="inlineStr">
        <is>
          <t>04-27-2026</t>
        </is>
      </c>
      <c r="D5" t="inlineStr">
        <is>
          <t>1TEL</t>
        </is>
      </c>
      <c r="E5" t="inlineStr">
        <is>
          <t>Wizard Screen</t>
        </is>
      </c>
      <c r="F5" t="inlineStr">
        <is>
          <t>1TEL-GG-UBA</t>
        </is>
      </c>
      <c r="G5" t="inlineStr"/>
      <c r="H5" t="n">
        <v>1</v>
      </c>
      <c r="I5" t="n">
        <v>0</v>
      </c>
      <c r="J5" t="n">
        <v>0</v>
      </c>
      <c r="K5" t="n">
        <v>2</v>
      </c>
      <c r="L5" t="n">
        <v>25</v>
      </c>
      <c r="M5" t="inlineStr">
        <is>
          <t>A</t>
        </is>
      </c>
      <c r="N5" t="n">
        <v>1</v>
      </c>
      <c r="O5" t="inlineStr">
        <is>
          <t>top_left</t>
        </is>
      </c>
      <c r="P5">
        <f>HYPERLINK("c:\Users\milesjb\Documents\CrystalDex\Resources\Crystal_Pictures\25_A1_top_left.jpg", "Open Image")</f>
        <v/>
      </c>
      <c r="Q5" t="inlineStr">
        <is>
          <t>A1 0.1 M CHES pH 9.5 20 % w/v Polyethylene glycol 8,000</t>
        </is>
      </c>
      <c r="R5" t="n">
        <v>176</v>
      </c>
      <c r="S5" t="n">
        <v>92</v>
      </c>
      <c r="T5" t="n">
        <v>1</v>
      </c>
      <c r="U5" t="inlineStr">
        <is>
          <t>o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None</t>
        </is>
      </c>
      <c r="AA5" t="inlineStr"/>
      <c r="AB5" t="inlineStr">
        <is>
          <t>04-27-2026</t>
        </is>
      </c>
      <c r="A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2026-04-28T20:51:37Z</dcterms:created>
  <dcterms:modified xsi:type="dcterms:W3CDTF">2026-04-28T20:51:37Z</dcterms:modified>
</cp:coreProperties>
</file>