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4-24-2026_1TEL-GG-UBA" sheetId="1" state="visible" r:id="rId1"/>
    <sheet name="04-27-2026_1TEL-GG-UB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Tray ID</t>
        </is>
      </c>
      <c r="B1" t="inlineStr">
        <is>
          <t>Date Set</t>
        </is>
      </c>
      <c r="C1" t="inlineStr">
        <is>
          <t>Chaperone</t>
        </is>
      </c>
      <c r="D1" t="inlineStr">
        <is>
          <t>Crystal Screen</t>
        </is>
      </c>
      <c r="E1" t="inlineStr">
        <is>
          <t>Protein</t>
        </is>
      </c>
      <c r="F1" t="inlineStr">
        <is>
          <t>Custom Tags</t>
        </is>
      </c>
      <c r="G1" t="inlineStr">
        <is>
          <t>Top Left Protein Concentration</t>
        </is>
      </c>
      <c r="H1" t="inlineStr">
        <is>
          <t>Top Right Protein Concentration</t>
        </is>
      </c>
      <c r="I1" t="inlineStr">
        <is>
          <t>Bottom Left Protein Concentration</t>
        </is>
      </c>
    </row>
    <row r="2">
      <c r="A2" t="n">
        <v>1</v>
      </c>
      <c r="B2" t="inlineStr">
        <is>
          <t>04-24-2026</t>
        </is>
      </c>
      <c r="C2" t="inlineStr">
        <is>
          <t>1TEL</t>
        </is>
      </c>
      <c r="D2" t="inlineStr">
        <is>
          <t>Wizard Screen</t>
        </is>
      </c>
      <c r="E2" t="inlineStr">
        <is>
          <t>1TEL-GG-UBA</t>
        </is>
      </c>
      <c r="F2" t="inlineStr"/>
      <c r="G2" t="n">
        <v>1</v>
      </c>
      <c r="H2" t="n">
        <v>5</v>
      </c>
      <c r="I2" t="n">
        <v>10</v>
      </c>
    </row>
    <row r="4">
      <c r="A4" t="inlineStr">
        <is>
          <t>tray_id</t>
        </is>
      </c>
      <c r="B4" t="inlineStr">
        <is>
          <t>crystal_screen_id</t>
        </is>
      </c>
      <c r="C4" t="inlineStr">
        <is>
          <t>date_set</t>
        </is>
      </c>
      <c r="D4" t="inlineStr">
        <is>
          <t>chaperone</t>
        </is>
      </c>
      <c r="E4" t="inlineStr">
        <is>
          <t>crystal_screen</t>
        </is>
      </c>
      <c r="F4" t="inlineStr">
        <is>
          <t>protein</t>
        </is>
      </c>
      <c r="G4" t="inlineStr">
        <is>
          <t>custom_tags</t>
        </is>
      </c>
      <c r="H4" t="inlineStr">
        <is>
          <t>top_left_protein_concentration</t>
        </is>
      </c>
      <c r="I4" t="inlineStr">
        <is>
          <t>top_right_protein_concentration</t>
        </is>
      </c>
      <c r="J4" t="inlineStr">
        <is>
          <t>bottom_left_protein_concentration</t>
        </is>
      </c>
      <c r="K4" t="inlineStr">
        <is>
          <t>subwell_id</t>
        </is>
      </c>
      <c r="L4" t="inlineStr">
        <is>
          <t>subwell_tray_id</t>
        </is>
      </c>
      <c r="M4" t="inlineStr">
        <is>
          <t>row</t>
        </is>
      </c>
      <c r="N4" t="inlineStr">
        <is>
          <t>column</t>
        </is>
      </c>
      <c r="O4" t="inlineStr">
        <is>
          <t>subwell</t>
        </is>
      </c>
      <c r="P4" t="inlineStr">
        <is>
          <t>picture_path</t>
        </is>
      </c>
      <c r="Q4" t="inlineStr">
        <is>
          <t>conditions</t>
        </is>
      </c>
      <c r="R4" t="inlineStr">
        <is>
          <t>minor_axis</t>
        </is>
      </c>
      <c r="S4" t="inlineStr">
        <is>
          <t>major_axis</t>
        </is>
      </c>
      <c r="T4" t="inlineStr">
        <is>
          <t>number_of_crystals</t>
        </is>
      </c>
      <c r="U4" t="inlineStr">
        <is>
          <t>shape</t>
        </is>
      </c>
      <c r="V4" t="inlineStr">
        <is>
          <t>possible_salt_crystals</t>
        </is>
      </c>
      <c r="W4" t="inlineStr">
        <is>
          <t>precipitation</t>
        </is>
      </c>
      <c r="X4" t="inlineStr">
        <is>
          <t>microcrystals</t>
        </is>
      </c>
      <c r="Y4" t="inlineStr">
        <is>
          <t>glassy_protein_or_artifacts</t>
        </is>
      </c>
      <c r="Z4" t="inlineStr">
        <is>
          <t>harvester</t>
        </is>
      </c>
      <c r="AA4" t="inlineStr">
        <is>
          <t>vial_and_run</t>
        </is>
      </c>
      <c r="AB4" t="inlineStr">
        <is>
          <t>date_snapped</t>
        </is>
      </c>
      <c r="AC4" t="inlineStr">
        <is>
          <t>notes</t>
        </is>
      </c>
    </row>
    <row r="5">
      <c r="A5" t="n">
        <v>1</v>
      </c>
      <c r="B5" t="n">
        <v>1</v>
      </c>
      <c r="C5" t="inlineStr">
        <is>
          <t>04-24-2026</t>
        </is>
      </c>
      <c r="D5" t="inlineStr">
        <is>
          <t>1TEL</t>
        </is>
      </c>
      <c r="E5" t="inlineStr">
        <is>
          <t>Wizard Screen</t>
        </is>
      </c>
      <c r="F5" t="inlineStr">
        <is>
          <t>1TEL-GG-UBA</t>
        </is>
      </c>
      <c r="G5" t="inlineStr"/>
      <c r="H5" t="n">
        <v>1</v>
      </c>
      <c r="I5" t="n">
        <v>5</v>
      </c>
      <c r="J5" t="n">
        <v>10</v>
      </c>
      <c r="K5" t="n">
        <v>3</v>
      </c>
      <c r="L5" t="n">
        <v>1</v>
      </c>
      <c r="M5" t="inlineStr">
        <is>
          <t>H</t>
        </is>
      </c>
      <c r="N5" t="n">
        <v>3</v>
      </c>
      <c r="O5" t="inlineStr">
        <is>
          <t>top_left</t>
        </is>
      </c>
      <c r="P5">
        <f>HYPERLINK("c:\Users\milesjb\Documents\CrystalDex\Resources\Crystal_Pictures\1_H3_top_left.jpg", "Open Image")</f>
        <v/>
      </c>
      <c r="Q5" t="inlineStr">
        <is>
          <t>B12 0.2 M Sodium chloride 0.1 M Tris pH 7.0 35 % v/v (+/-)-2-Methyl-2,4-pentanediol</t>
        </is>
      </c>
      <c r="R5" t="n">
        <v>343</v>
      </c>
      <c r="S5" t="n">
        <v>398</v>
      </c>
      <c r="T5" t="n">
        <v>2</v>
      </c>
      <c r="U5" t="inlineStr">
        <is>
          <t>P</t>
        </is>
      </c>
      <c r="V5" t="inlineStr">
        <is>
          <t>0</t>
        </is>
      </c>
      <c r="W5" t="inlineStr">
        <is>
          <t>0</t>
        </is>
      </c>
      <c r="X5" t="inlineStr">
        <is>
          <t>0</t>
        </is>
      </c>
      <c r="Y5" t="inlineStr">
        <is>
          <t>0</t>
        </is>
      </c>
      <c r="Z5" t="inlineStr">
        <is>
          <t>None</t>
        </is>
      </c>
      <c r="AA5" t="inlineStr"/>
      <c r="AB5" t="inlineStr">
        <is>
          <t>04-28-2026</t>
        </is>
      </c>
      <c r="AC5" t="inlineStr"/>
    </row>
    <row r="6">
      <c r="A6" t="n">
        <v>1</v>
      </c>
      <c r="B6" t="n">
        <v>1</v>
      </c>
      <c r="C6" t="inlineStr">
        <is>
          <t>04-24-2026</t>
        </is>
      </c>
      <c r="D6" t="inlineStr">
        <is>
          <t>1TEL</t>
        </is>
      </c>
      <c r="E6" t="inlineStr">
        <is>
          <t>Wizard Screen</t>
        </is>
      </c>
      <c r="F6" t="inlineStr">
        <is>
          <t>1TEL-GG-UBA</t>
        </is>
      </c>
      <c r="G6" t="inlineStr"/>
      <c r="H6" t="n">
        <v>1</v>
      </c>
      <c r="I6" t="n">
        <v>5</v>
      </c>
      <c r="J6" t="n">
        <v>10</v>
      </c>
      <c r="K6" t="n">
        <v>5</v>
      </c>
      <c r="L6" t="n">
        <v>1</v>
      </c>
      <c r="M6" t="inlineStr">
        <is>
          <t>B</t>
        </is>
      </c>
      <c r="N6" t="n">
        <v>2</v>
      </c>
      <c r="O6" t="inlineStr">
        <is>
          <t>top_right</t>
        </is>
      </c>
      <c r="P6">
        <f>HYPERLINK("c:\Users\milesjb\Documents\CrystalDex\Resources\Crystal_Pictures\1_B2_top_right.jpg", "Open Image")</f>
        <v/>
      </c>
      <c r="Q6" t="inlineStr">
        <is>
          <t>A10 0.1 M Tris pH 7.0 20 % w/v Polyethylene glycol monomethyl ether 2,000</t>
        </is>
      </c>
      <c r="R6" t="n">
        <v>205</v>
      </c>
      <c r="S6" t="n">
        <v>267</v>
      </c>
      <c r="T6" t="n">
        <v>2</v>
      </c>
      <c r="U6" t="inlineStr">
        <is>
          <t>2</t>
        </is>
      </c>
      <c r="V6" t="inlineStr">
        <is>
          <t>0</t>
        </is>
      </c>
      <c r="W6" t="inlineStr">
        <is>
          <t>0</t>
        </is>
      </c>
      <c r="X6" t="inlineStr">
        <is>
          <t>0</t>
        </is>
      </c>
      <c r="Y6" t="inlineStr">
        <is>
          <t>0</t>
        </is>
      </c>
      <c r="Z6" t="inlineStr">
        <is>
          <t>None</t>
        </is>
      </c>
      <c r="AA6" t="inlineStr"/>
      <c r="AB6" t="inlineStr">
        <is>
          <t>04-28-2026</t>
        </is>
      </c>
      <c r="AC6" t="inlineStr"/>
    </row>
    <row r="7">
      <c r="A7" t="n">
        <v>1</v>
      </c>
      <c r="B7" t="n">
        <v>1</v>
      </c>
      <c r="C7" t="inlineStr">
        <is>
          <t>04-24-2026</t>
        </is>
      </c>
      <c r="D7" t="inlineStr">
        <is>
          <t>1TEL</t>
        </is>
      </c>
      <c r="E7" t="inlineStr">
        <is>
          <t>Wizard Screen</t>
        </is>
      </c>
      <c r="F7" t="inlineStr">
        <is>
          <t>1TEL-GG-UBA</t>
        </is>
      </c>
      <c r="G7" t="inlineStr"/>
      <c r="H7" t="n">
        <v>1</v>
      </c>
      <c r="I7" t="n">
        <v>5</v>
      </c>
      <c r="J7" t="n">
        <v>10</v>
      </c>
      <c r="K7" t="n">
        <v>6</v>
      </c>
      <c r="L7" t="n">
        <v>1</v>
      </c>
      <c r="M7" t="inlineStr">
        <is>
          <t>A</t>
        </is>
      </c>
      <c r="N7" t="n">
        <v>3</v>
      </c>
      <c r="O7" t="inlineStr">
        <is>
          <t>bottom_left</t>
        </is>
      </c>
      <c r="P7">
        <f>HYPERLINK("c:\Users\milesjb\Documents\CrystalDex\Resources\Crystal_Pictures\1_A3_bottom_left.jpg", "Open Image")</f>
        <v/>
      </c>
      <c r="Q7" t="inlineStr">
        <is>
          <t>B5 0.2 M Lithium sulfate monohydrate 0.1 M Sodium acetate trihydrate pH 4.5 30 % w/v Polyethylene glycol 8,000</t>
        </is>
      </c>
      <c r="R7" t="n">
        <v>280</v>
      </c>
      <c r="S7" t="n">
        <v>301</v>
      </c>
      <c r="T7" t="n">
        <v>4</v>
      </c>
      <c r="U7" t="inlineStr">
        <is>
          <t>g</t>
        </is>
      </c>
      <c r="V7" t="inlineStr">
        <is>
          <t>0</t>
        </is>
      </c>
      <c r="W7" t="inlineStr">
        <is>
          <t>0</t>
        </is>
      </c>
      <c r="X7" t="inlineStr">
        <is>
          <t>0</t>
        </is>
      </c>
      <c r="Y7" t="inlineStr">
        <is>
          <t>0</t>
        </is>
      </c>
      <c r="Z7" t="inlineStr">
        <is>
          <t>Miles Bradford</t>
        </is>
      </c>
      <c r="AA7" t="inlineStr">
        <is>
          <t>322</t>
        </is>
      </c>
      <c r="AB7" t="inlineStr">
        <is>
          <t>04-28-2026</t>
        </is>
      </c>
      <c r="AC7" t="inlineStr">
        <is>
          <t>none</t>
        </is>
      </c>
    </row>
    <row r="8">
      <c r="A8" t="n">
        <v>1</v>
      </c>
      <c r="B8" t="n">
        <v>1</v>
      </c>
      <c r="C8" t="inlineStr">
        <is>
          <t>04-24-2026</t>
        </is>
      </c>
      <c r="D8" t="inlineStr">
        <is>
          <t>1TEL</t>
        </is>
      </c>
      <c r="E8" t="inlineStr">
        <is>
          <t>Wizard Screen</t>
        </is>
      </c>
      <c r="F8" t="inlineStr">
        <is>
          <t>1TEL-GG-UBA</t>
        </is>
      </c>
      <c r="G8" t="inlineStr"/>
      <c r="H8" t="n">
        <v>1</v>
      </c>
      <c r="I8" t="n">
        <v>5</v>
      </c>
      <c r="J8" t="n">
        <v>10</v>
      </c>
      <c r="K8" t="n">
        <v>7</v>
      </c>
      <c r="L8" t="n">
        <v>1</v>
      </c>
      <c r="M8" t="inlineStr">
        <is>
          <t>D</t>
        </is>
      </c>
      <c r="N8" t="n">
        <v>2</v>
      </c>
      <c r="O8" t="inlineStr">
        <is>
          <t>top_left</t>
        </is>
      </c>
      <c r="P8">
        <f>HYPERLINK("c:\Users\milesjb\Documents\CrystalDex\Resources\Crystal_Pictures\1_D2_top_left.jpg", "Open Image")</f>
        <v/>
      </c>
      <c r="Q8" t="inlineStr">
        <is>
          <t>A12 0.2 M Calcium acetate hydrate 0.1 M Imidazole pH 8.0 20 % w/v Polyethylene glycol 1,000</t>
        </is>
      </c>
      <c r="R8" t="n">
        <v>206</v>
      </c>
      <c r="S8" t="n">
        <v>236</v>
      </c>
      <c r="T8" t="n">
        <v>1</v>
      </c>
      <c r="U8" t="inlineStr">
        <is>
          <t>f</t>
        </is>
      </c>
      <c r="V8" t="inlineStr">
        <is>
          <t>0</t>
        </is>
      </c>
      <c r="W8" t="inlineStr">
        <is>
          <t>0</t>
        </is>
      </c>
      <c r="X8" t="inlineStr">
        <is>
          <t>0</t>
        </is>
      </c>
      <c r="Y8" t="inlineStr">
        <is>
          <t>0</t>
        </is>
      </c>
      <c r="Z8" t="inlineStr">
        <is>
          <t>Miles Bradford</t>
        </is>
      </c>
      <c r="AA8" t="inlineStr">
        <is>
          <t>222</t>
        </is>
      </c>
      <c r="AB8" t="inlineStr">
        <is>
          <t>04-28-2026</t>
        </is>
      </c>
      <c r="AC8" t="inlineStr"/>
    </row>
    <row r="9">
      <c r="A9" t="n">
        <v>1</v>
      </c>
      <c r="B9" t="n">
        <v>1</v>
      </c>
      <c r="C9" t="inlineStr">
        <is>
          <t>04-24-2026</t>
        </is>
      </c>
      <c r="D9" t="inlineStr">
        <is>
          <t>1TEL</t>
        </is>
      </c>
      <c r="E9" t="inlineStr">
        <is>
          <t>Wizard Screen</t>
        </is>
      </c>
      <c r="F9" t="inlineStr">
        <is>
          <t>1TEL-GG-UBA</t>
        </is>
      </c>
      <c r="G9" t="inlineStr"/>
      <c r="H9" t="n">
        <v>1</v>
      </c>
      <c r="I9" t="n">
        <v>5</v>
      </c>
      <c r="J9" t="n">
        <v>10</v>
      </c>
      <c r="K9" t="n">
        <v>8</v>
      </c>
      <c r="L9" t="n">
        <v>1</v>
      </c>
      <c r="M9" t="inlineStr">
        <is>
          <t>A</t>
        </is>
      </c>
      <c r="N9" t="n">
        <v>6</v>
      </c>
      <c r="O9" t="inlineStr">
        <is>
          <t>top_left</t>
        </is>
      </c>
      <c r="P9">
        <f>HYPERLINK("c:\Users\milesjb\Documents\CrystalDex\Resources\Crystal_Pictures\1_A6_top_left.jpg", "Open Image")</f>
        <v/>
      </c>
      <c r="Q9" t="inlineStr">
        <is>
          <t>D5 0.1 M CHES pH 9.5 30 % w/v Polyethylene glycol 3,000</t>
        </is>
      </c>
      <c r="R9" t="n">
        <v>223</v>
      </c>
      <c r="S9" t="n">
        <v>476</v>
      </c>
      <c r="T9" t="n">
        <v>6</v>
      </c>
      <c r="U9" t="inlineStr">
        <is>
          <t>k</t>
        </is>
      </c>
      <c r="V9" t="inlineStr">
        <is>
          <t>0</t>
        </is>
      </c>
      <c r="W9" t="inlineStr">
        <is>
          <t>0</t>
        </is>
      </c>
      <c r="X9" t="inlineStr">
        <is>
          <t>0</t>
        </is>
      </c>
      <c r="Y9" t="inlineStr">
        <is>
          <t>0</t>
        </is>
      </c>
      <c r="Z9" t="inlineStr">
        <is>
          <t>Miles Bradford</t>
        </is>
      </c>
      <c r="AA9" t="inlineStr">
        <is>
          <t>322</t>
        </is>
      </c>
      <c r="AB9" t="inlineStr">
        <is>
          <t>04-28-2026</t>
        </is>
      </c>
      <c r="AC9" t="inlineStr">
        <is>
          <t>None</t>
        </is>
      </c>
    </row>
    <row r="10">
      <c r="A10" t="n">
        <v>1</v>
      </c>
      <c r="B10" t="n">
        <v>1</v>
      </c>
      <c r="C10" t="inlineStr">
        <is>
          <t>04-24-2026</t>
        </is>
      </c>
      <c r="D10" t="inlineStr">
        <is>
          <t>1TEL</t>
        </is>
      </c>
      <c r="E10" t="inlineStr">
        <is>
          <t>Wizard Screen</t>
        </is>
      </c>
      <c r="F10" t="inlineStr">
        <is>
          <t>1TEL-GG-UBA</t>
        </is>
      </c>
      <c r="G10" t="inlineStr"/>
      <c r="H10" t="n">
        <v>1</v>
      </c>
      <c r="I10" t="n">
        <v>5</v>
      </c>
      <c r="J10" t="n">
        <v>10</v>
      </c>
      <c r="K10" t="n">
        <v>9</v>
      </c>
      <c r="L10" t="n">
        <v>1</v>
      </c>
      <c r="M10" t="inlineStr">
        <is>
          <t>F</t>
        </is>
      </c>
      <c r="N10" t="n">
        <v>5</v>
      </c>
      <c r="O10" t="inlineStr">
        <is>
          <t>top_left</t>
        </is>
      </c>
      <c r="P10">
        <f>HYPERLINK("c:\Users\milesjb\Documents\CrystalDex\Resources\Crystal_Pictures\1_F5_top_left.jpg", "Open Image")</f>
        <v/>
      </c>
      <c r="Q10" t="inlineStr">
        <is>
          <t>D2 0.2 M Lithium sulfate monohydrate 0.1 M CHES pH 9.5 1.0 M Potassium sodium tartrate tetrahydrate</t>
        </is>
      </c>
      <c r="R10" t="n">
        <v>367</v>
      </c>
      <c r="S10" t="n">
        <v>377</v>
      </c>
      <c r="T10" t="n">
        <v>5</v>
      </c>
      <c r="U10" t="inlineStr">
        <is>
          <t>F</t>
        </is>
      </c>
      <c r="V10" t="inlineStr">
        <is>
          <t>0</t>
        </is>
      </c>
      <c r="W10" t="inlineStr">
        <is>
          <t>0</t>
        </is>
      </c>
      <c r="X10" t="inlineStr">
        <is>
          <t>0</t>
        </is>
      </c>
      <c r="Y10" t="inlineStr">
        <is>
          <t>0</t>
        </is>
      </c>
      <c r="Z10" t="inlineStr">
        <is>
          <t>Miles Bradford</t>
        </is>
      </c>
      <c r="AA10" t="inlineStr">
        <is>
          <t>5:22</t>
        </is>
      </c>
      <c r="AB10" t="inlineStr">
        <is>
          <t>04-28-2026</t>
        </is>
      </c>
      <c r="AC10" t="inlineStr">
        <is>
          <t>Five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Tray ID</t>
        </is>
      </c>
      <c r="B1" t="inlineStr">
        <is>
          <t>Date Set</t>
        </is>
      </c>
      <c r="C1" t="inlineStr">
        <is>
          <t>Chaperone</t>
        </is>
      </c>
      <c r="D1" t="inlineStr">
        <is>
          <t>Crystal Screen</t>
        </is>
      </c>
      <c r="E1" t="inlineStr">
        <is>
          <t>Protein</t>
        </is>
      </c>
      <c r="F1" t="inlineStr">
        <is>
          <t>Custom Tags</t>
        </is>
      </c>
      <c r="G1" t="inlineStr">
        <is>
          <t>Top Left Protein Concentration</t>
        </is>
      </c>
      <c r="H1" t="inlineStr">
        <is>
          <t>Top Right Protein Concentration</t>
        </is>
      </c>
      <c r="I1" t="inlineStr">
        <is>
          <t>Bottom Left Protein Concentration</t>
        </is>
      </c>
    </row>
    <row r="2">
      <c r="A2" t="n">
        <v>25</v>
      </c>
      <c r="B2" t="inlineStr">
        <is>
          <t>04-27-2026</t>
        </is>
      </c>
      <c r="C2" t="inlineStr">
        <is>
          <t>1TEL</t>
        </is>
      </c>
      <c r="D2" t="inlineStr">
        <is>
          <t>Wizard Screen</t>
        </is>
      </c>
      <c r="E2" t="inlineStr">
        <is>
          <t>1TEL-GG-UBA</t>
        </is>
      </c>
      <c r="F2" t="inlineStr"/>
      <c r="G2" t="n">
        <v>1</v>
      </c>
      <c r="H2" t="n">
        <v>0</v>
      </c>
      <c r="I2" t="n">
        <v>0</v>
      </c>
    </row>
    <row r="4">
      <c r="A4" t="inlineStr">
        <is>
          <t>tray_id</t>
        </is>
      </c>
      <c r="B4" t="inlineStr">
        <is>
          <t>crystal_screen_id</t>
        </is>
      </c>
      <c r="C4" t="inlineStr">
        <is>
          <t>date_set</t>
        </is>
      </c>
      <c r="D4" t="inlineStr">
        <is>
          <t>chaperone</t>
        </is>
      </c>
      <c r="E4" t="inlineStr">
        <is>
          <t>crystal_screen</t>
        </is>
      </c>
      <c r="F4" t="inlineStr">
        <is>
          <t>protein</t>
        </is>
      </c>
      <c r="G4" t="inlineStr">
        <is>
          <t>custom_tags</t>
        </is>
      </c>
      <c r="H4" t="inlineStr">
        <is>
          <t>top_left_protein_concentration</t>
        </is>
      </c>
      <c r="I4" t="inlineStr">
        <is>
          <t>top_right_protein_concentration</t>
        </is>
      </c>
      <c r="J4" t="inlineStr">
        <is>
          <t>bottom_left_protein_concentration</t>
        </is>
      </c>
      <c r="K4" t="inlineStr">
        <is>
          <t>subwell_id</t>
        </is>
      </c>
      <c r="L4" t="inlineStr">
        <is>
          <t>subwell_tray_id</t>
        </is>
      </c>
      <c r="M4" t="inlineStr">
        <is>
          <t>row</t>
        </is>
      </c>
      <c r="N4" t="inlineStr">
        <is>
          <t>column</t>
        </is>
      </c>
      <c r="O4" t="inlineStr">
        <is>
          <t>subwell</t>
        </is>
      </c>
      <c r="P4" t="inlineStr">
        <is>
          <t>picture_path</t>
        </is>
      </c>
      <c r="Q4" t="inlineStr">
        <is>
          <t>conditions</t>
        </is>
      </c>
      <c r="R4" t="inlineStr">
        <is>
          <t>minor_axis</t>
        </is>
      </c>
      <c r="S4" t="inlineStr">
        <is>
          <t>major_axis</t>
        </is>
      </c>
      <c r="T4" t="inlineStr">
        <is>
          <t>number_of_crystals</t>
        </is>
      </c>
      <c r="U4" t="inlineStr">
        <is>
          <t>shape</t>
        </is>
      </c>
      <c r="V4" t="inlineStr">
        <is>
          <t>possible_salt_crystals</t>
        </is>
      </c>
      <c r="W4" t="inlineStr">
        <is>
          <t>precipitation</t>
        </is>
      </c>
      <c r="X4" t="inlineStr">
        <is>
          <t>microcrystals</t>
        </is>
      </c>
      <c r="Y4" t="inlineStr">
        <is>
          <t>glassy_protein_or_artifacts</t>
        </is>
      </c>
      <c r="Z4" t="inlineStr">
        <is>
          <t>harvester</t>
        </is>
      </c>
      <c r="AA4" t="inlineStr">
        <is>
          <t>vial_and_run</t>
        </is>
      </c>
      <c r="AB4" t="inlineStr">
        <is>
          <t>date_snapped</t>
        </is>
      </c>
      <c r="AC4" t="inlineStr">
        <is>
          <t>notes</t>
        </is>
      </c>
    </row>
    <row r="5">
      <c r="A5" t="n">
        <v>25</v>
      </c>
      <c r="B5" t="n">
        <v>1</v>
      </c>
      <c r="C5" t="inlineStr">
        <is>
          <t>04-27-2026</t>
        </is>
      </c>
      <c r="D5" t="inlineStr">
        <is>
          <t>1TEL</t>
        </is>
      </c>
      <c r="E5" t="inlineStr">
        <is>
          <t>Wizard Screen</t>
        </is>
      </c>
      <c r="F5" t="inlineStr">
        <is>
          <t>1TEL-GG-UBA</t>
        </is>
      </c>
      <c r="G5" t="inlineStr"/>
      <c r="H5" t="n">
        <v>1</v>
      </c>
      <c r="I5" t="n">
        <v>0</v>
      </c>
      <c r="J5" t="n">
        <v>0</v>
      </c>
      <c r="K5" t="n">
        <v>2</v>
      </c>
      <c r="L5" t="n">
        <v>25</v>
      </c>
      <c r="M5" t="inlineStr">
        <is>
          <t>A</t>
        </is>
      </c>
      <c r="N5" t="n">
        <v>1</v>
      </c>
      <c r="O5" t="inlineStr">
        <is>
          <t>top_left</t>
        </is>
      </c>
      <c r="P5">
        <f>HYPERLINK("c:\Users\milesjb\Documents\CrystalDex\Resources\Crystal_Pictures\25_A1_top_left.jpg", "Open Image")</f>
        <v/>
      </c>
      <c r="Q5" t="inlineStr">
        <is>
          <t>A1 0.1 M CHES pH 9.5 20 % w/v Polyethylene glycol 8,000</t>
        </is>
      </c>
      <c r="R5" t="n">
        <v>176</v>
      </c>
      <c r="S5" t="n">
        <v>92</v>
      </c>
      <c r="T5" t="n">
        <v>1</v>
      </c>
      <c r="U5" t="inlineStr">
        <is>
          <t>o</t>
        </is>
      </c>
      <c r="V5" t="inlineStr">
        <is>
          <t>0</t>
        </is>
      </c>
      <c r="W5" t="inlineStr">
        <is>
          <t>0</t>
        </is>
      </c>
      <c r="X5" t="inlineStr">
        <is>
          <t>0</t>
        </is>
      </c>
      <c r="Y5" t="inlineStr">
        <is>
          <t>0</t>
        </is>
      </c>
      <c r="Z5" t="inlineStr">
        <is>
          <t>None</t>
        </is>
      </c>
      <c r="AA5" t="inlineStr"/>
      <c r="AB5" t="inlineStr">
        <is>
          <t>04-27-2026</t>
        </is>
      </c>
      <c r="AC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2026-04-28T21:42:50Z</dcterms:created>
  <dcterms:modified xsi:type="dcterms:W3CDTF">2026-04-28T21:42:50Z</dcterms:modified>
</cp:coreProperties>
</file>