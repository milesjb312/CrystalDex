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105" tabRatio="600" firstSheet="16" activeTab="19" autoFilterDateGrouping="1"/>
  </bookViews>
  <sheets>
    <sheet name="Mastercopy" sheetId="1" state="visible" r:id="rId1"/>
    <sheet name="04-09-2025_IN_10xHis-2TEL-" sheetId="2" state="visible" r:id="rId2"/>
    <sheet name="07-04-2025_WO_10xHis-1Trig" sheetId="3" state="visible" r:id="rId3"/>
    <sheet name="05-10-2025_SR_10xHis-1TEL-" sheetId="4" state="visible" r:id="rId4"/>
    <sheet name="07-12-2025_2V_2Trig-1TEL-T" sheetId="5" state="visible" r:id="rId5"/>
    <sheet name="06-05-2025_SR_10x-His-1TEL" sheetId="6" state="visible" r:id="rId6"/>
    <sheet name="06-05-2025_CS_10xHis-1TEL-" sheetId="7" state="visible" r:id="rId7"/>
    <sheet name="06-05-2025_WZ_10xHis-1TEL-" sheetId="8" state="visible" r:id="rId8"/>
    <sheet name="06-05-2025_PI_10xHis-1TEL-" sheetId="9" state="visible" r:id="rId9"/>
    <sheet name="06-05-2025_IN_10xHis-1TEL-" sheetId="10" state="visible" r:id="rId10"/>
    <sheet name="05-15-2025_SR_10xHis-1TEL-" sheetId="11" state="visible" r:id="rId11"/>
    <sheet name="05-15-2025_CS_10xHis-1TEL-" sheetId="12" state="visible" r:id="rId12"/>
    <sheet name="05-15-2025_WZ_10xHis-1TEL-" sheetId="13" state="visible" r:id="rId13"/>
    <sheet name="06-05-2025_PI_10xHis-1TEL-1" sheetId="14" state="visible" r:id="rId14"/>
    <sheet name="06-03-2025_WZ_2Trig-1TEL-T" sheetId="15" state="visible" r:id="rId15"/>
    <sheet name="07-12-2025_OV_2Trig-1TEL-T" sheetId="16" state="visible" r:id="rId16"/>
    <sheet name="06-03-2025_PI_2Trig-1TEL-T" sheetId="17" state="visible" r:id="rId17"/>
    <sheet name="07-30-2025_SR_HSP47_1" sheetId="18" state="visible" r:id="rId18"/>
    <sheet name="07-30-2025_IN_HisHSP47_1" sheetId="19" state="visible" r:id="rId19"/>
    <sheet name="08-01-2025_SR_His-2TEL-R-h" sheetId="20" state="visible" r:id="rId20"/>
    <sheet name="08-02-2025_CS_TELSAM_1" sheetId="21" state="visible" r:id="rId2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theme="1"/>
      <sz val="10"/>
      <scheme val="minor"/>
    </font>
    <font>
      <name val="Calibri"/>
      <color theme="1"/>
      <sz val="10"/>
      <scheme val="minor"/>
    </font>
    <font>
      <name val="Calibri"/>
      <color theme="1"/>
      <sz val="7"/>
      <scheme val="minor"/>
    </font>
    <font>
      <name val="Calibri"/>
      <family val="2"/>
      <b val="1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A9D18E"/>
        <bgColor rgb="FFA9D18E"/>
      </patternFill>
    </fill>
    <fill>
      <patternFill patternType="solid">
        <fgColor rgb="00A9D18E"/>
        <bgColor rgb="00A9D18E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1" pivotButton="0" quotePrefix="0" xfId="0"/>
    <xf numFmtId="0" fontId="3" fillId="0" borderId="1" pivotButton="0" quotePrefix="0" xfId="0"/>
    <xf numFmtId="0" fontId="3" fillId="0" borderId="2" pivotButton="0" quotePrefix="0" xfId="0"/>
    <xf numFmtId="0" fontId="2" fillId="0" borderId="3" pivotButton="0" quotePrefix="0" xfId="0"/>
    <xf numFmtId="0" fontId="1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right"/>
    </xf>
    <xf numFmtId="0" fontId="3" fillId="0" borderId="4" pivotButton="0" quotePrefix="0" xfId="0"/>
    <xf numFmtId="0" fontId="2" fillId="0" borderId="5" pivotButton="0" quotePrefix="0" xfId="0"/>
    <xf numFmtId="0" fontId="2" fillId="0" borderId="0" pivotButton="0" quotePrefix="0" xfId="0"/>
    <xf numFmtId="0" fontId="1" fillId="0" borderId="6" pivotButton="0" quotePrefix="0" xfId="0"/>
    <xf numFmtId="0" fontId="1" fillId="0" borderId="7" pivotButton="0" quotePrefix="0" xfId="0"/>
    <xf numFmtId="0" fontId="1" fillId="0" borderId="8" pivotButton="0" quotePrefix="0" xfId="0"/>
    <xf numFmtId="0" fontId="1" fillId="0" borderId="9" pivotButton="0" quotePrefix="0" xfId="0"/>
    <xf numFmtId="0" fontId="2" fillId="0" borderId="10" pivotButton="0" quotePrefix="0" xfId="0"/>
    <xf numFmtId="0" fontId="2" fillId="0" borderId="11" pivotButton="0" quotePrefix="0" xfId="0"/>
    <xf numFmtId="0" fontId="1" fillId="0" borderId="12" pivotButton="0" quotePrefix="0" xfId="0"/>
    <xf numFmtId="0" fontId="2" fillId="0" borderId="4" pivotButton="0" quotePrefix="0" xfId="0"/>
    <xf numFmtId="0" fontId="2" fillId="0" borderId="13" pivotButton="0" quotePrefix="0" xfId="0"/>
    <xf numFmtId="0" fontId="2" fillId="3" borderId="1" pivotButton="0" quotePrefix="0" xfId="0"/>
    <xf numFmtId="0" fontId="2" fillId="3" borderId="0" pivotButton="0" quotePrefix="0" xfId="0"/>
    <xf numFmtId="0" fontId="3" fillId="3" borderId="1" pivotButton="0" quotePrefix="0" xfId="0"/>
    <xf numFmtId="0" fontId="0" fillId="3" borderId="0" pivotButton="0" quotePrefix="0" xfId="0"/>
    <xf numFmtId="0" fontId="3" fillId="3" borderId="2" pivotButton="0" quotePrefix="0" xfId="0"/>
    <xf numFmtId="0" fontId="2" fillId="3" borderId="3" pivotButton="0" quotePrefix="0" xfId="0"/>
    <xf numFmtId="0" fontId="3" fillId="3" borderId="4" pivotButton="0" quotePrefix="0" xfId="0"/>
    <xf numFmtId="0" fontId="2" fillId="3" borderId="5" pivotButton="0" quotePrefix="0" xfId="0"/>
    <xf numFmtId="0" fontId="2" fillId="3" borderId="10" pivotButton="0" quotePrefix="0" xfId="0"/>
    <xf numFmtId="0" fontId="2" fillId="3" borderId="11" pivotButton="0" quotePrefix="0" xfId="0"/>
    <xf numFmtId="0" fontId="2" fillId="4" borderId="1" pivotButton="0" quotePrefix="0" xfId="0"/>
    <xf numFmtId="0" fontId="2" fillId="4" borderId="0" pivotButton="0" quotePrefix="0" xfId="0"/>
    <xf numFmtId="0" fontId="3" fillId="4" borderId="1" pivotButton="0" quotePrefix="0" xfId="0"/>
    <xf numFmtId="0" fontId="0" fillId="4" borderId="0" pivotButton="0" quotePrefix="0" xfId="0"/>
    <xf numFmtId="0" fontId="3" fillId="4" borderId="2" pivotButton="0" quotePrefix="0" xfId="0"/>
    <xf numFmtId="0" fontId="2" fillId="4" borderId="3" pivotButton="0" quotePrefix="0" xfId="0"/>
  </cellXfs>
  <cellStyles count="1">
    <cellStyle name="Normal" xfId="0" builtinId="0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byu.app.box.com/file/1920772177850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byu.app.box.com/file/1921935021297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byu.app.box.com/file/1922641048070" TargetMode="External" Id="rId1" /><Relationship Type="http://schemas.openxmlformats.org/officeDocument/2006/relationships/hyperlink" Target="https://byu.app.box.com/file/1922648173803" TargetMode="External" Id="rId2" /></Relationships>
</file>

<file path=xl/worksheets/_rels/sheet5.xml.rels><Relationships xmlns="http://schemas.openxmlformats.org/package/2006/relationships"><Relationship Type="http://schemas.openxmlformats.org/officeDocument/2006/relationships/hyperlink" Target="https://byu.app.box.com/file/1926658804149" TargetMode="External" Id="rId1" /><Relationship Type="http://schemas.openxmlformats.org/officeDocument/2006/relationships/hyperlink" Target="https://byu.app.box.com/file/1926657738079" TargetMode="External" Id="rId2" /><Relationship Type="http://schemas.openxmlformats.org/officeDocument/2006/relationships/hyperlink" Target="https://byu.app.box.com/file/1926657095574" TargetMode="External" Id="rId3" /><Relationship Type="http://schemas.openxmlformats.org/officeDocument/2006/relationships/hyperlink" Target="https://byu.app.box.com/file/1926662221892" TargetMode="External" Id="rId4" /><Relationship Type="http://schemas.openxmlformats.org/officeDocument/2006/relationships/hyperlink" Target="https://byu.app.box.com/file/1926655360718" TargetMode="External" Id="rId5" /><Relationship Type="http://schemas.openxmlformats.org/officeDocument/2006/relationships/hyperlink" Target="https://byu.app.box.com/file/1926665603779" TargetMode="External" Id="rId6" /></Relationships>
</file>

<file path=xl/worksheets/_rels/sheet8.xml.rels><Relationships xmlns="http://schemas.openxmlformats.org/package/2006/relationships"><Relationship Type="http://schemas.openxmlformats.org/officeDocument/2006/relationships/hyperlink" Target="https://byu.app.box.com/file/1938115206352" TargetMode="External" Id="rId1" /><Relationship Type="http://schemas.openxmlformats.org/officeDocument/2006/relationships/hyperlink" Target="https://byu.app.box.com/file/1938122780772" TargetMode="External" Id="rId2" /><Relationship Type="http://schemas.openxmlformats.org/officeDocument/2006/relationships/hyperlink" Target="https://byu.app.box.com/file/1938124787434" TargetMode="External" Id="rId3" /></Relationships>
</file>

<file path=xl/worksheets/_rels/sheet9.xml.rels><Relationships xmlns="http://schemas.openxmlformats.org/package/2006/relationships"><Relationship Type="http://schemas.openxmlformats.org/officeDocument/2006/relationships/hyperlink" Target="https://byu.app.box.com/file/1938132659434" TargetMode="External" Id="rId1" /><Relationship Type="http://schemas.openxmlformats.org/officeDocument/2006/relationships/hyperlink" Target="https://byu.app.box.com/file/1938126961959" TargetMode="External" Id="rId2" /></Relationships>
</file>

<file path=xl/worksheets/_rels/sheet10.xml.rels><Relationships xmlns="http://schemas.openxmlformats.org/package/2006/relationships"><Relationship Type="http://schemas.openxmlformats.org/officeDocument/2006/relationships/hyperlink" Target="https://byu.app.box.com/file/1938172156792" TargetMode="External" Id="rId1" /><Relationship Type="http://schemas.openxmlformats.org/officeDocument/2006/relationships/hyperlink" Target="https://byu.app.box.com/file/1938169573386" TargetMode="External" Id="rId2" /></Relationships>
</file>

<file path=xl/worksheets/_rels/sheet11.xml.rels><Relationships xmlns="http://schemas.openxmlformats.org/package/2006/relationships"><Relationship Type="http://schemas.openxmlformats.org/officeDocument/2006/relationships/hyperlink" Target="https://byu.app.box.com/file/194194236453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byu.app.box.com/file/1938207673816" TargetMode="External" Id="rId1" /><Relationship Type="http://schemas.openxmlformats.org/officeDocument/2006/relationships/hyperlink" Target="https://byu.app.box.com/file/1938204112194" TargetMode="External" Id="rId2" /></Relationships>
</file>

<file path=xl/worksheets/_rels/sheet14.xml.rels><Relationships xmlns="http://schemas.openxmlformats.org/package/2006/relationships"><Relationship Type="http://schemas.openxmlformats.org/officeDocument/2006/relationships/hyperlink" Target="https://byu.app.box.com/file/193928181973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byu.app.box.com/file/1939345818774" TargetMode="External" Id="rId1" /><Relationship Type="http://schemas.openxmlformats.org/officeDocument/2006/relationships/hyperlink" Target="https://byu.app.box.com/file/1939354729409" TargetMode="External" Id="rId2" /><Relationship Type="http://schemas.openxmlformats.org/officeDocument/2006/relationships/hyperlink" Target="https://byu.app.box.com/file/1939352267717" TargetMode="External" Id="rId3" /></Relationships>
</file>

<file path=xl/worksheets/_rels/sheet16.xml.rels><Relationships xmlns="http://schemas.openxmlformats.org/package/2006/relationships"><Relationship Type="http://schemas.openxmlformats.org/officeDocument/2006/relationships/hyperlink" Target="https://byu.app.box.com/file/1940675531819" TargetMode="External" Id="rId1" /><Relationship Type="http://schemas.openxmlformats.org/officeDocument/2006/relationships/hyperlink" Target="https://byu.app.box.com/file/1940684708635" TargetMode="External" Id="rId2" /><Relationship Type="http://schemas.openxmlformats.org/officeDocument/2006/relationships/hyperlink" Target="https://byu.app.box.com/file/1940678156823" TargetMode="External" Id="rId3" /></Relationships>
</file>

<file path=xl/worksheets/_rels/sheet17.xml.rels><Relationships xmlns="http://schemas.openxmlformats.org/package/2006/relationships"><Relationship Type="http://schemas.openxmlformats.org/officeDocument/2006/relationships/hyperlink" Target="https://byu.app.box.com/file/1940709368960" TargetMode="External" Id="rId1" /><Relationship Type="http://schemas.openxmlformats.org/officeDocument/2006/relationships/hyperlink" Target="https://byu.app.box.com/file/1940710871459" TargetMode="External" Id="rId2" /><Relationship Type="http://schemas.openxmlformats.org/officeDocument/2006/relationships/hyperlink" Target="https://byu.app.box.com/file/1940701095866" TargetMode="External" Id="rId3" /></Relationships>
</file>

<file path=xl/worksheets/_rels/sheet18.xml.rels><Relationships xmlns="http://schemas.openxmlformats.org/package/2006/relationships"><Relationship Type="http://schemas.openxmlformats.org/officeDocument/2006/relationships/hyperlink" Target="https://byu.app.box.com/file/1941734286631" TargetMode="External" Id="rId1" /><Relationship Type="http://schemas.openxmlformats.org/officeDocument/2006/relationships/hyperlink" Target="https://byu.app.box.com/file/1941730578391" TargetMode="External" Id="rId2" /><Relationship Type="http://schemas.openxmlformats.org/officeDocument/2006/relationships/hyperlink" Target="https://byu.app.box.com/file/1941738374183" TargetMode="External" Id="rId3" /></Relationships>
</file>

<file path=xl/worksheets/_rels/sheet19.xml.rels><Relationships xmlns="http://schemas.openxmlformats.org/package/2006/relationships"><Relationship Type="http://schemas.openxmlformats.org/officeDocument/2006/relationships/hyperlink" Target="https://byu.app.box.com/file/1942932344803" TargetMode="External" Id="rId1" /><Relationship Type="http://schemas.openxmlformats.org/officeDocument/2006/relationships/hyperlink" Target="https://byu.app.box.com/file/1942930262206" TargetMode="External" Id="rId2" /></Relationships>
</file>

<file path=xl/worksheets/_rels/sheet21.xml.rels><Relationships xmlns="http://schemas.openxmlformats.org/package/2006/relationships"><Relationship Type="http://schemas.openxmlformats.org/officeDocument/2006/relationships/hyperlink" Target="Z:\CrystalDex\Crystal_Pictures\08-02-2025_CS_TELSAM_1\1TEL_TELSAM_Crystal_Screen__CS_A1_top_left_08-02-2025_08-02-2025-15-33-34.jpg" TargetMode="External" Id="rId1" /><Relationship Type="http://schemas.openxmlformats.org/officeDocument/2006/relationships/hyperlink" Target="Z:\CrystalDex\Crystal_Pictures\08-02-2025_CS_TELSAM_1\1TEL_TELSAM_Crystal_Screen__CS_B1_top_left_08-02-2025_08-02-2025-15-34-15.jpg" TargetMode="External" Id="rId2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BE113" sqref="BE113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C1" s="7" t="inlineStr">
        <is>
          <t>Date set:</t>
        </is>
      </c>
      <c r="D1" s="2" t="n"/>
      <c r="G1" s="7" t="inlineStr">
        <is>
          <t>Enter the top-left subwell concentration:</t>
        </is>
      </c>
      <c r="H1" s="2" t="n"/>
      <c r="J1" s="8" t="inlineStr">
        <is>
          <t>All tags:</t>
        </is>
      </c>
      <c r="K1" s="2" t="n"/>
    </row>
    <row r="2" ht="15" customHeight="1">
      <c r="C2" s="8" t="inlineStr">
        <is>
          <t>Crystallization Chaperone:</t>
        </is>
      </c>
      <c r="D2" s="2" t="n"/>
      <c r="G2" s="7" t="inlineStr">
        <is>
          <t>Enter the top-right subwell concentration:</t>
        </is>
      </c>
      <c r="H2" s="2" t="n"/>
    </row>
    <row r="3" ht="15" customHeight="1">
      <c r="C3" s="8" t="inlineStr">
        <is>
          <t>Crystal Screen:</t>
        </is>
      </c>
      <c r="D3" s="2" t="n"/>
      <c r="G3" s="7" t="inlineStr">
        <is>
          <t>Enter the bottom-left subwell concentration:</t>
        </is>
      </c>
      <c r="H3" s="2" t="n"/>
    </row>
    <row r="4" ht="15.75" customHeight="1">
      <c r="A4" s="1" t="n"/>
      <c r="C4" s="8" t="inlineStr">
        <is>
          <t>Target Protein:</t>
        </is>
      </c>
      <c r="D4" s="2" t="n"/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_xlfn.TEXTJOIN("",FALSE,$H$3,"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pageMargins left="0" right="0" top="0" bottom="0" header="0" footer="0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B8" sqref="B8:C14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04-09-2025_IN_10xHis-2TEL-FIKK2-aggregate_1</t>
        </is>
      </c>
      <c r="C1" s="7" t="inlineStr">
        <is>
          <t>Date set:</t>
        </is>
      </c>
      <c r="D1" s="2" t="inlineStr">
        <is>
          <t>04-09-2025</t>
        </is>
      </c>
      <c r="G1" s="7" t="inlineStr">
        <is>
          <t>Enter the top-left subwell concentration:</t>
        </is>
      </c>
      <c r="H1" s="2" t="n"/>
      <c r="J1" s="8" t="inlineStr">
        <is>
          <t>All tags:</t>
        </is>
      </c>
      <c r="K1" s="2" t="inlineStr">
        <is>
          <t xml:space="preserve">04-09-2025, Index__IN, 10xHis-2TEL-FIKK2-aggregate, , , 14.7, 2TEL, </t>
        </is>
      </c>
    </row>
    <row r="2" ht="15" customHeight="1">
      <c r="C2" s="8" t="inlineStr">
        <is>
          <t>Crystallization Chaperone:</t>
        </is>
      </c>
      <c r="D2" s="2" t="inlineStr">
        <is>
          <t>2TEL</t>
        </is>
      </c>
      <c r="G2" s="7" t="inlineStr">
        <is>
          <t>Enter the top-right subwell concentration:</t>
        </is>
      </c>
      <c r="H2" s="2" t="n"/>
    </row>
    <row r="3" ht="15" customHeight="1">
      <c r="C3" s="8" t="inlineStr">
        <is>
          <t>Crystal Screen:</t>
        </is>
      </c>
      <c r="D3" s="2" t="inlineStr">
        <is>
          <t>Index__IN</t>
        </is>
      </c>
      <c r="G3" s="7" t="inlineStr">
        <is>
          <t>Enter the bottom-left subwell concentration:</t>
        </is>
      </c>
      <c r="H3" s="2" t="inlineStr">
        <is>
          <t>14.7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10xHis-2TEL-FIKK2-aggregate</t>
        </is>
      </c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6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6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6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C9" s="16" t="n"/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H9" s="16" t="n"/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M9" s="16" t="n"/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C10" s="16" t="n"/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H10" s="16" t="n"/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M10" s="16" t="n"/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C11" s="16" t="n"/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H11" s="16" t="n"/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M11" s="16" t="n"/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C12" s="16" t="n"/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H12" s="16" t="n"/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M12" s="16" t="n"/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C13" s="16" t="n"/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H13" s="16" t="n"/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M13" s="16" t="n"/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17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17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17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_xlfn.TEXTJOIN("",FALSE,$H$3,"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21">
        <f>_xlfn.TEXTJOIN("",FALSE,$H$3," mg/mL")</f>
        <v/>
      </c>
      <c r="AQ120" s="22" t="inlineStr">
        <is>
          <t>2TEL_10xHis-2TEL-FIKK2-aggregate_Index__IN_H9_bottom_left_04-09-2025_07-10-2025_harvested</t>
        </is>
      </c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23" t="inlineStr">
        <is>
          <t>Days to 1st Crystal:</t>
        </is>
      </c>
      <c r="AQ121" s="24" t="inlineStr">
        <is>
          <t>92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23" t="inlineStr">
        <is>
          <t>Size of largest Crystal:</t>
        </is>
      </c>
      <c r="AQ122" s="24" t="inlineStr">
        <is>
          <t>34x28 um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23" t="inlineStr">
        <is>
          <t>Number of harvestable crystals:</t>
        </is>
      </c>
      <c r="AQ123" s="24" t="n"/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23" t="inlineStr">
        <is>
          <t>Shape:</t>
        </is>
      </c>
      <c r="AQ124" s="24" t="n"/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23" t="inlineStr">
        <is>
          <t>Contaminants:</t>
        </is>
      </c>
      <c r="AQ125" s="24" t="inlineStr">
        <is>
          <t>Possible salt crystals: False, precipitation: False, microcrystals: False, glassy protein or artifacts: False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27" t="inlineStr">
        <is>
          <t>Notes:</t>
        </is>
      </c>
      <c r="AQ126" s="28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hyperlinks>
    <hyperlink xmlns:r="http://schemas.openxmlformats.org/officeDocument/2006/relationships" ref="AQ120" r:id="rId1"/>
  </hyperlinks>
  <pageMargins left="0" right="0" top="0" bottom="0" header="0" footer="0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B113" sqref="B113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07-04-2025_WO_10xHis-1Trig-1TEL-TV-vWa_1</t>
        </is>
      </c>
      <c r="C1" s="7" t="inlineStr">
        <is>
          <t>Date set:</t>
        </is>
      </c>
      <c r="D1" s="2" t="inlineStr">
        <is>
          <t>07-04-2025</t>
        </is>
      </c>
      <c r="G1" s="7" t="inlineStr">
        <is>
          <t>Enter the top-left subwell concentration:</t>
        </is>
      </c>
      <c r="H1" s="2" t="inlineStr">
        <is>
          <t>5</t>
        </is>
      </c>
      <c r="J1" s="8" t="inlineStr">
        <is>
          <t>All tags:</t>
        </is>
      </c>
      <c r="K1" s="2" t="inlineStr">
        <is>
          <t xml:space="preserve">07-04-2025, Wizard A10, D10, A7, C4__WO, 10xHis-1Trig-1TEL-TV-vWa, 5, 0, 17, 1TEL, 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inlineStr">
        <is>
          <t>0</t>
        </is>
      </c>
    </row>
    <row r="3" ht="15" customHeight="1">
      <c r="C3" s="8" t="inlineStr">
        <is>
          <t>Crystal Screen:</t>
        </is>
      </c>
      <c r="D3" s="2" t="inlineStr">
        <is>
          <t>Wizard A10, D10, A7, C4__WO</t>
        </is>
      </c>
      <c r="G3" s="7" t="inlineStr">
        <is>
          <t>Enter the bottom-left subwell concentration:</t>
        </is>
      </c>
      <c r="H3" s="2" t="inlineStr">
        <is>
          <t>17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10xHis-1Trig-1TEL-TV-vWa</t>
        </is>
      </c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_xlfn.TEXTJOIN("",FALSE,$H$3,"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_xlfn.TEXTJOIN("",FALSE,$H$1,"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_xlfn.TEXTJOIN("",FALSE,$H$1,"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_xlfn.TEXTJOIN("",FALSE,$H$1,"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_xlfn.TEXTJOIN("",FALSE,$H$1,"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_xlfn.TEXTJOIN("",FALSE,$H$1,"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_xlfn.TEXTJOIN("",FALSE,$H$1,"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_xlfn.TEXTJOIN("",FALSE,$H$1,"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_xlfn.TEXTJOIN("",FALSE,$H$1,"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_xlfn.TEXTJOIN("",FALSE,$H$1,"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_xlfn.TEXTJOIN("",FALSE,$H$1,"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_xlfn.TEXTJOIN("",FALSE,$H$1,"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_xlfn.TEXTJOIN("",FALSE,$H$1,"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_xlfn.TEXTJOIN("",FALSE,$H$1," mg/mL")</f>
        <v/>
      </c>
      <c r="C120" s="11" t="n"/>
      <c r="D120" s="3" t="n"/>
      <c r="E120" s="16" t="n"/>
      <c r="F120" s="15" t="inlineStr">
        <is>
          <t>H</t>
        </is>
      </c>
      <c r="G120" s="21">
        <f>_xlfn.TEXTJOIN("",FALSE,$H$3," mg/mL")</f>
        <v/>
      </c>
      <c r="H120" s="22" t="inlineStr">
        <is>
          <t>1TEL_10xHis-1Trig-1TEL-TV-vWa_Wizard A10, D10, A7, C4__WO_H2_bottom_left_07-04-2025_07-11-2025-12-24-31</t>
        </is>
      </c>
      <c r="I120" s="3" t="n"/>
      <c r="J120" s="16" t="n"/>
      <c r="K120" s="15" t="inlineStr">
        <is>
          <t>H</t>
        </is>
      </c>
      <c r="L120" s="3">
        <f>_xlfn.TEXTJOIN("",FALSE,$H$1,"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_xlfn.TEXTJOIN("",FALSE,$H$1,"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_xlfn.TEXTJOIN("",FALSE,$H$1,"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_xlfn.TEXTJOIN("",FALSE,$H$1,"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_xlfn.TEXTJOIN("",FALSE,$H$1,"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_xlfn.TEXTJOIN("",FALSE,$H$1,"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_xlfn.TEXTJOIN("",FALSE,$H$1,"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_xlfn.TEXTJOIN("",FALSE,$H$1,"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_xlfn.TEXTJOIN("",FALSE,$H$1,"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_xlfn.TEXTJOIN("",FALSE,$H$1,"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23" t="inlineStr">
        <is>
          <t>Days to 1st Crystal:</t>
        </is>
      </c>
      <c r="H121" s="24" t="inlineStr">
        <is>
          <t>7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23" t="inlineStr">
        <is>
          <t>Size of largest Crystal:</t>
        </is>
      </c>
      <c r="H122" s="24" t="inlineStr">
        <is>
          <t>2057x2414 um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23" t="inlineStr">
        <is>
          <t>Number of harvestable crystals:</t>
        </is>
      </c>
      <c r="H123" s="24" t="inlineStr">
        <is>
          <t>1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23" t="inlineStr">
        <is>
          <t>Shape:</t>
        </is>
      </c>
      <c r="H124" s="24" t="inlineStr">
        <is>
          <t>precipitate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23" t="inlineStr">
        <is>
          <t>Contaminants:</t>
        </is>
      </c>
      <c r="H125" s="24" t="inlineStr">
        <is>
          <t>Possible salt crystals: False, precipitation: True, microcrystals: False, glassy protein or artifacts: False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27" t="inlineStr">
        <is>
          <t>Notes:</t>
        </is>
      </c>
      <c r="H126" s="28" t="inlineStr">
        <is>
          <t xml:space="preserve">Good jub Miles
</t>
        </is>
      </c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hyperlinks>
    <hyperlink xmlns:r="http://schemas.openxmlformats.org/officeDocument/2006/relationships" ref="H120" r:id="rId1"/>
  </hyperlinks>
  <pageMargins left="0" right="0" top="0" bottom="0" header="0" footer="0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H126"/>
  <sheetViews>
    <sheetView topLeftCell="AG55" workbookViewId="0">
      <selection activeCell="AH44" sqref="AH44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05-10-2025_SR_10xHis-1TEL-SR-DARPin_1</t>
        </is>
      </c>
      <c r="C1" s="7" t="inlineStr">
        <is>
          <t>Date set:</t>
        </is>
      </c>
      <c r="D1" s="2" t="inlineStr">
        <is>
          <t>05-10-2025</t>
        </is>
      </c>
      <c r="G1" s="7" t="inlineStr">
        <is>
          <t>Enter the top-left subwell concentration:</t>
        </is>
      </c>
      <c r="H1" s="2" t="inlineStr">
        <is>
          <t>1</t>
        </is>
      </c>
      <c r="J1" s="8" t="inlineStr">
        <is>
          <t>All tags:</t>
        </is>
      </c>
      <c r="K1" s="2" t="inlineStr">
        <is>
          <t xml:space="preserve">05-10-2025, Salt_Rx__SR, 10xHis-1TEL-SR-DARPin, 1, 5, 20, 1TEL, 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inlineStr">
        <is>
          <t>5</t>
        </is>
      </c>
    </row>
    <row r="3" ht="15" customHeight="1">
      <c r="C3" s="8" t="inlineStr">
        <is>
          <t>Crystal Screen:</t>
        </is>
      </c>
      <c r="D3" s="2" t="inlineStr">
        <is>
          <t>Salt_Rx__SR</t>
        </is>
      </c>
      <c r="G3" s="7" t="inlineStr">
        <is>
          <t>Enter the bottom-left subwell concentration:</t>
        </is>
      </c>
      <c r="H3" s="2" t="inlineStr">
        <is>
          <t>20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10xHis-1TEL-SR-DARPin</t>
        </is>
      </c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_xlfn.TEXTJOIN("",FALSE,$H$3,"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21">
        <f>_xlfn.TEXTJOIN("",FALSE,$H$2," mg/mL")</f>
        <v/>
      </c>
      <c r="AS68" s="29" t="inlineStr">
        <is>
          <t>1TEL_10xHis-1TEL-SR-DARPin_Salt_Rx__SR_E9_top_right_05-10-2025_07-12-2025-09-29-15</t>
        </is>
      </c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23" t="inlineStr">
        <is>
          <t>Days to 1st Crystal:</t>
        </is>
      </c>
      <c r="AS69" s="29" t="inlineStr">
        <is>
          <t>63</t>
        </is>
      </c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23" t="inlineStr">
        <is>
          <t>Size of largest Crystal:</t>
        </is>
      </c>
      <c r="AS70" s="29" t="inlineStr">
        <is>
          <t>146x130 um</t>
        </is>
      </c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23" t="inlineStr">
        <is>
          <t>Number of harvestable crystals:</t>
        </is>
      </c>
      <c r="AS71" s="29" t="inlineStr">
        <is>
          <t>30</t>
        </is>
      </c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23" t="inlineStr">
        <is>
          <t>Shape:</t>
        </is>
      </c>
      <c r="AS72" s="29" t="inlineStr">
        <is>
          <t>Artichoke leaves</t>
        </is>
      </c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23" t="inlineStr">
        <is>
          <t>Contaminants:</t>
        </is>
      </c>
      <c r="AS73" s="29" t="inlineStr">
        <is>
          <t>Possible salt crystals: False, precipitation: False, microcrystals: False, glassy protein or artifacts: True</t>
        </is>
      </c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25" t="inlineStr">
        <is>
          <t>Notes:</t>
        </is>
      </c>
      <c r="AS74" s="30" t="inlineStr">
        <is>
          <t xml:space="preserve">Bad crystals
</t>
        </is>
      </c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21">
        <f>_xlfn.TEXTJOIN("",FALSE,$H$3," mg/mL")</f>
        <v/>
      </c>
      <c r="AQ75" s="22" t="inlineStr">
        <is>
          <t>1TEL_10xHis-1TEL-SR-DARPin_Salt_Rx__SR_E9_bottom_left_05-10-2025_07-12-2025-09-46-20_harvested</t>
        </is>
      </c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23" t="inlineStr">
        <is>
          <t>Days to 1st Crystal:</t>
        </is>
      </c>
      <c r="AQ76" s="24" t="inlineStr">
        <is>
          <t>63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23" t="inlineStr">
        <is>
          <t>Size of largest Crystal:</t>
        </is>
      </c>
      <c r="AQ77" s="24" t="inlineStr">
        <is>
          <t>34x205 um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23" t="inlineStr">
        <is>
          <t>Number of harvestable crystals:</t>
        </is>
      </c>
      <c r="AQ78" s="24" t="inlineStr">
        <is>
          <t>6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23" t="inlineStr">
        <is>
          <t>Shape:</t>
        </is>
      </c>
      <c r="AQ79" s="24" t="inlineStr">
        <is>
          <t>Long prisms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23" t="inlineStr">
        <is>
          <t>Contaminants:</t>
        </is>
      </c>
      <c r="AQ80" s="24" t="inlineStr">
        <is>
          <t>Possible salt crystals: False, precipitation: False, microcrystals: False, glassy protein or artifacts: False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27" t="inlineStr">
        <is>
          <t>Notes:</t>
        </is>
      </c>
      <c r="AQ81" s="28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hyperlinks>
    <hyperlink xmlns:r="http://schemas.openxmlformats.org/officeDocument/2006/relationships" ref="AS68" r:id="rId1"/>
    <hyperlink xmlns:r="http://schemas.openxmlformats.org/officeDocument/2006/relationships" ref="AQ75" r:id="rId2"/>
  </hyperlinks>
  <pageMargins left="0" right="0" top="0" bottom="0" header="0" footer="0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F6" sqref="F6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07-12-2025_2V_2Trig-1TEL-TV-vWa_1</t>
        </is>
      </c>
      <c r="C1" s="7" t="inlineStr">
        <is>
          <t>Date set:</t>
        </is>
      </c>
      <c r="D1" s="2" t="inlineStr">
        <is>
          <t>07-12-2025</t>
        </is>
      </c>
      <c r="G1" s="7" t="inlineStr">
        <is>
          <t>Enter the top-left subwell concentration:</t>
        </is>
      </c>
      <c r="H1" s="2" t="inlineStr">
        <is>
          <t>15.4</t>
        </is>
      </c>
      <c r="J1" s="8" t="inlineStr">
        <is>
          <t>All tags:</t>
        </is>
      </c>
      <c r="K1" s="2" t="inlineStr">
        <is>
          <t>07-12-2025, 2Trig-1TEL-TV-vWaOptimizationPIA7WID10CSA10__2V, 2Trig-1TEL-TV-vWa, 15.4, , , , Optimization</t>
        </is>
      </c>
    </row>
    <row r="2" ht="15" customHeight="1">
      <c r="C2" s="8" t="inlineStr">
        <is>
          <t>Crystallization Chaperone:</t>
        </is>
      </c>
      <c r="D2" s="2" t="n"/>
      <c r="G2" s="7" t="inlineStr">
        <is>
          <t>Enter the top-right subwell concentration:</t>
        </is>
      </c>
      <c r="H2" s="2" t="n"/>
    </row>
    <row r="3" ht="15" customHeight="1">
      <c r="C3" s="8" t="inlineStr">
        <is>
          <t>Crystal Screen:</t>
        </is>
      </c>
      <c r="D3" s="2" t="inlineStr">
        <is>
          <t>2Trig-1TEL-TV-vWaOptimizationPIA7WID10CSA10__2V</t>
        </is>
      </c>
      <c r="G3" s="7" t="inlineStr">
        <is>
          <t>Enter the bottom-left subwell concentration:</t>
        </is>
      </c>
      <c r="H3" s="2" t="n"/>
    </row>
    <row r="4" ht="15.75" customHeight="1">
      <c r="A4" s="1" t="n"/>
      <c r="C4" s="8" t="inlineStr">
        <is>
          <t>Target Protein:</t>
        </is>
      </c>
      <c r="D4" s="2" t="inlineStr">
        <is>
          <t>2Trig-1TEL-TV-vWa</t>
        </is>
      </c>
    </row>
    <row r="5" ht="15" customHeight="1">
      <c r="C5" s="8" t="inlineStr">
        <is>
          <t>Custom Tags:</t>
        </is>
      </c>
      <c r="D5" s="2" t="inlineStr">
        <is>
          <t>Optimization</t>
        </is>
      </c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21">
        <f>_xlfn.TEXTJOIN("",FALSE,$H$1," mg/mL")</f>
        <v/>
      </c>
      <c r="M23" s="22" t="inlineStr">
        <is>
          <t>_2Trig-1TEL-TV-vWa_2Trig-1TEL-TV-vWaOptimizationPIA7WID10CSA10__2V_B3_top_left_07-12-2025_07-16-2025-09-19-58</t>
        </is>
      </c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23" t="inlineStr">
        <is>
          <t>Days to 1st Crystal:</t>
        </is>
      </c>
      <c r="M24" s="24" t="inlineStr">
        <is>
          <t>4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23" t="inlineStr">
        <is>
          <t>Size of largest Crystal:</t>
        </is>
      </c>
      <c r="M25" s="24" t="inlineStr">
        <is>
          <t>18x16 um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23" t="inlineStr">
        <is>
          <t>Number of harvestable crystals:</t>
        </is>
      </c>
      <c r="M26" s="24" t="inlineStr">
        <is>
          <t>0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23" t="inlineStr">
        <is>
          <t>Shape:</t>
        </is>
      </c>
      <c r="M27" s="24" t="inlineStr">
        <is>
          <t>Microcrystals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23" t="inlineStr">
        <is>
          <t>Contaminants:</t>
        </is>
      </c>
      <c r="M28" s="24" t="inlineStr">
        <is>
          <t>Possible salt crystals: False, precipitation: True, microcrystals: True, glassy protein or artifacts: False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25" t="inlineStr">
        <is>
          <t>Notes:</t>
        </is>
      </c>
      <c r="M29" s="26" t="inlineStr">
        <is>
          <t xml:space="preserve">Microcrystals
</t>
        </is>
      </c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21">
        <f>_xlfn.TEXTJOIN("",FALSE,$H$1," mg/mL")</f>
        <v/>
      </c>
      <c r="M38" s="22" t="inlineStr">
        <is>
          <t>_2Trig-1TEL-TV-vWa_2Trig-1TEL-TV-vWaOptimizationPIA7WID10CSA10__2V_C3_top_left_07-12-2025_07-16-2025-09-19-58</t>
        </is>
      </c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21">
        <f>_xlfn.TEXTJOIN("",FALSE,$H$1," mg/mL")</f>
        <v/>
      </c>
      <c r="AB38" s="22" t="inlineStr">
        <is>
          <t>_2Trig-1TEL-TV-vWa_2Trig-1TEL-TV-vWaOptimizationPIA7WID10CSA10__2V_C6_top_left_07-12-2025_07-16-2025-09-19-58</t>
        </is>
      </c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23" t="inlineStr">
        <is>
          <t>Days to 1st Crystal:</t>
        </is>
      </c>
      <c r="M39" s="24" t="inlineStr">
        <is>
          <t>4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23" t="inlineStr">
        <is>
          <t>Days to 1st Crystal:</t>
        </is>
      </c>
      <c r="AB39" s="24" t="inlineStr">
        <is>
          <t>4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23" t="inlineStr">
        <is>
          <t>Size of largest Crystal:</t>
        </is>
      </c>
      <c r="M40" s="24" t="inlineStr">
        <is>
          <t>18x16 um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23" t="inlineStr">
        <is>
          <t>Size of largest Crystal:</t>
        </is>
      </c>
      <c r="AB40" s="24" t="inlineStr">
        <is>
          <t>21x5 um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23" t="inlineStr">
        <is>
          <t>Number of harvestable crystals:</t>
        </is>
      </c>
      <c r="M41" s="24" t="inlineStr">
        <is>
          <t>0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23" t="inlineStr">
        <is>
          <t>Number of harvestable crystals:</t>
        </is>
      </c>
      <c r="AB41" s="24" t="inlineStr">
        <is>
          <t>0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23" t="inlineStr">
        <is>
          <t>Shape:</t>
        </is>
      </c>
      <c r="M42" s="24" t="inlineStr">
        <is>
          <t>Microcrystals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23" t="inlineStr">
        <is>
          <t>Shape:</t>
        </is>
      </c>
      <c r="AB42" s="24" t="inlineStr">
        <is>
          <t>Microcrystals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23" t="inlineStr">
        <is>
          <t>Contaminants:</t>
        </is>
      </c>
      <c r="M43" s="24" t="inlineStr">
        <is>
          <t>Possible salt crystals: False, precipitation: True, microcrystals: True, glassy protein or artifacts: False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23" t="inlineStr">
        <is>
          <t>Contaminants:</t>
        </is>
      </c>
      <c r="AB43" s="24" t="inlineStr">
        <is>
          <t>Possible salt crystals: False, precipitation: True, microcrystals: True, glassy protein or artifacts: False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25" t="inlineStr">
        <is>
          <t>Notes:</t>
        </is>
      </c>
      <c r="M44" s="26" t="inlineStr">
        <is>
          <t xml:space="preserve">Microcrystals
</t>
        </is>
      </c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25" t="inlineStr">
        <is>
          <t>Notes:</t>
        </is>
      </c>
      <c r="AB44" s="26" t="inlineStr">
        <is>
          <t xml:space="preserve">Microcrystals
</t>
        </is>
      </c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_xlfn.TEXTJOIN("",FALSE,$H$3,"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21">
        <f>_xlfn.TEXTJOIN("",FALSE,$H$1," mg/mL")</f>
        <v/>
      </c>
      <c r="M53" s="22" t="inlineStr">
        <is>
          <t>_2Trig-1TEL-TV-vWa_2Trig-1TEL-TV-vWaOptimizationPIA7WID10CSA10__2V_D3_top_left_07-12-2025_07-16-2025-09-19-58</t>
        </is>
      </c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21">
        <f>_xlfn.TEXTJOIN("",FALSE,$H$1," mg/mL")</f>
        <v/>
      </c>
      <c r="W53" s="22" t="inlineStr">
        <is>
          <t>_2Trig-1TEL-TV-vWa_2Trig-1TEL-TV-vWaOptimizationPIA7WID10CSA10__2V_D5_top_left_07-12-2025_07-16-2025-09-19-58</t>
        </is>
      </c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23" t="inlineStr">
        <is>
          <t>Days to 1st Crystal:</t>
        </is>
      </c>
      <c r="M54" s="24" t="inlineStr">
        <is>
          <t>4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23" t="inlineStr">
        <is>
          <t>Days to 1st Crystal:</t>
        </is>
      </c>
      <c r="W54" s="24" t="inlineStr">
        <is>
          <t>4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23" t="inlineStr">
        <is>
          <t>Size of largest Crystal:</t>
        </is>
      </c>
      <c r="M55" s="24" t="inlineStr">
        <is>
          <t>18x16 um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23" t="inlineStr">
        <is>
          <t>Size of largest Crystal:</t>
        </is>
      </c>
      <c r="W55" s="24" t="inlineStr">
        <is>
          <t>16x15 um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23" t="inlineStr">
        <is>
          <t>Number of harvestable crystals:</t>
        </is>
      </c>
      <c r="M56" s="24" t="inlineStr">
        <is>
          <t>0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23" t="inlineStr">
        <is>
          <t>Number of harvestable crystals:</t>
        </is>
      </c>
      <c r="W56" s="24" t="inlineStr">
        <is>
          <t>0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23" t="inlineStr">
        <is>
          <t>Shape:</t>
        </is>
      </c>
      <c r="M57" s="24" t="inlineStr">
        <is>
          <t>Microcrystals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23" t="inlineStr">
        <is>
          <t>Shape:</t>
        </is>
      </c>
      <c r="W57" s="24" t="inlineStr">
        <is>
          <t>Microcrystals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23" t="inlineStr">
        <is>
          <t>Contaminants:</t>
        </is>
      </c>
      <c r="M58" s="24" t="inlineStr">
        <is>
          <t>Possible salt crystals: False, precipitation: True, microcrystals: True, glassy protein or artifacts: False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23" t="inlineStr">
        <is>
          <t>Contaminants:</t>
        </is>
      </c>
      <c r="W58" s="24" t="inlineStr">
        <is>
          <t>Possible salt crystals: False, precipitation: True, microcrystals: True, glassy protein or artifacts: False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25" t="inlineStr">
        <is>
          <t>Notes:</t>
        </is>
      </c>
      <c r="M59" s="26" t="inlineStr">
        <is>
          <t xml:space="preserve">Microcrystals
</t>
        </is>
      </c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25" t="inlineStr">
        <is>
          <t>Notes:</t>
        </is>
      </c>
      <c r="W59" s="26" t="inlineStr">
        <is>
          <t xml:space="preserve">Microcrystals
</t>
        </is>
      </c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21">
        <f>_xlfn.TEXTJOIN("",FALSE,$H$1," mg/mL")</f>
        <v/>
      </c>
      <c r="H113" s="22" t="inlineStr">
        <is>
          <t>_2Trig-1TEL-TV-vWa_2Trig-1TEL-TV-vWaOptimizationPIA7WID10CSA10__2V_H2_top_left_07-12-2025_07-16-2025-09-19-58</t>
        </is>
      </c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23" t="inlineStr">
        <is>
          <t>Days to 1st Crystal:</t>
        </is>
      </c>
      <c r="H114" s="24" t="inlineStr">
        <is>
          <t>4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23" t="inlineStr">
        <is>
          <t>Size of largest Crystal:</t>
        </is>
      </c>
      <c r="H115" s="24" t="inlineStr">
        <is>
          <t>241x20 um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23" t="inlineStr">
        <is>
          <t>Number of harvestable crystals:</t>
        </is>
      </c>
      <c r="H116" s="24" t="inlineStr">
        <is>
          <t>2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23" t="inlineStr">
        <is>
          <t>Shape:</t>
        </is>
      </c>
      <c r="H117" s="24" t="inlineStr">
        <is>
          <t>Rods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23" t="inlineStr">
        <is>
          <t>Contaminants:</t>
        </is>
      </c>
      <c r="H118" s="24" t="inlineStr">
        <is>
          <t>Possible salt crystals: True, precipitation: True, microcrystals: False, glassy protein or artifacts: False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25" t="inlineStr">
        <is>
          <t>Notes:</t>
        </is>
      </c>
      <c r="H119" s="26" t="inlineStr">
        <is>
          <t xml:space="preserve">Could be fake
</t>
        </is>
      </c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hyperlinks>
    <hyperlink xmlns:r="http://schemas.openxmlformats.org/officeDocument/2006/relationships" ref="M23" r:id="rId1"/>
    <hyperlink xmlns:r="http://schemas.openxmlformats.org/officeDocument/2006/relationships" ref="M38" r:id="rId2"/>
    <hyperlink xmlns:r="http://schemas.openxmlformats.org/officeDocument/2006/relationships" ref="AB38" r:id="rId3"/>
    <hyperlink xmlns:r="http://schemas.openxmlformats.org/officeDocument/2006/relationships" ref="M53" r:id="rId4"/>
    <hyperlink xmlns:r="http://schemas.openxmlformats.org/officeDocument/2006/relationships" ref="W53" r:id="rId5"/>
    <hyperlink xmlns:r="http://schemas.openxmlformats.org/officeDocument/2006/relationships" ref="H113" r:id="rId6"/>
  </hyperlinks>
  <pageMargins left="0" right="0" top="0" bottom="0" header="0" footer="0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06-05-2025_SR_10x-His-1TEL-sfGFP-Long-SR-DARPin_1</t>
        </is>
      </c>
      <c r="C1" s="7" t="inlineStr">
        <is>
          <t>Date set:</t>
        </is>
      </c>
      <c r="D1" s="2" t="inlineStr">
        <is>
          <t>06-05-2025</t>
        </is>
      </c>
      <c r="G1" s="7" t="inlineStr">
        <is>
          <t>Enter the top-left subwell concentration:</t>
        </is>
      </c>
      <c r="H1" s="2" t="inlineStr">
        <is>
          <t>10</t>
        </is>
      </c>
      <c r="J1" s="8" t="inlineStr">
        <is>
          <t>All tags:</t>
        </is>
      </c>
      <c r="K1" s="2" t="inlineStr">
        <is>
          <t xml:space="preserve">06-05-2025, Salt_Rx__SR, 10x-His-1TEL-sfGFP-Long-SR-DARPin, 10, 20, 1, 1TEL, 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inlineStr">
        <is>
          <t>20</t>
        </is>
      </c>
    </row>
    <row r="3" ht="15" customHeight="1">
      <c r="C3" s="8" t="inlineStr">
        <is>
          <t>Crystal Screen:</t>
        </is>
      </c>
      <c r="D3" s="2" t="inlineStr">
        <is>
          <t>Salt_Rx__SR</t>
        </is>
      </c>
      <c r="G3" s="7" t="inlineStr">
        <is>
          <t>Enter the bottom-left subwell concentration:</t>
        </is>
      </c>
      <c r="H3" s="2" t="inlineStr">
        <is>
          <t>1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10x-His-1TEL-sfGFP-Long-SR-DARPin</t>
        </is>
      </c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_xlfn.TEXTJOIN("",FALSE,$H$3,"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pageMargins left="0" right="0" top="0" bottom="0" header="0" footer="0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06-05-2025_CS_10xHis-1TEL-sfGFP-Long-SR-DARPin_1</t>
        </is>
      </c>
      <c r="C1" s="7" t="inlineStr">
        <is>
          <t>Date set:</t>
        </is>
      </c>
      <c r="D1" s="2" t="inlineStr">
        <is>
          <t>06-05-2025</t>
        </is>
      </c>
      <c r="G1" s="7" t="inlineStr">
        <is>
          <t>Enter the top-left subwell concentration:</t>
        </is>
      </c>
      <c r="H1" s="2" t="inlineStr">
        <is>
          <t>10</t>
        </is>
      </c>
      <c r="J1" s="8" t="inlineStr">
        <is>
          <t>All tags:</t>
        </is>
      </c>
      <c r="K1" s="2" t="inlineStr">
        <is>
          <t xml:space="preserve">06-05-2025, Crystal_Screen__CS, 10xHis-1TEL-sfGFP-Long-SR-DARPin, 10, 20, 1, 1TEL, 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inlineStr">
        <is>
          <t>20</t>
        </is>
      </c>
    </row>
    <row r="3" ht="15" customHeight="1">
      <c r="C3" s="8" t="inlineStr">
        <is>
          <t>Crystal Screen:</t>
        </is>
      </c>
      <c r="D3" s="2" t="inlineStr">
        <is>
          <t>Crystal_Screen__CS</t>
        </is>
      </c>
      <c r="G3" s="7" t="inlineStr">
        <is>
          <t>Enter the bottom-left subwell concentration:</t>
        </is>
      </c>
      <c r="H3" s="2" t="inlineStr">
        <is>
          <t>1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10xHis-1TEL-sfGFP-Long-SR-DARPin</t>
        </is>
      </c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_xlfn.TEXTJOIN("",FALSE,$H$3,"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pageMargins left="0" right="0" top="0" bottom="0" header="0" footer="0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06-05-2025_WZ_10xHis-1TEL-sfGFP-Long-SR-DARPin_1</t>
        </is>
      </c>
      <c r="C1" s="7" t="inlineStr">
        <is>
          <t>Date set:</t>
        </is>
      </c>
      <c r="D1" s="2" t="inlineStr">
        <is>
          <t>06-05-2025</t>
        </is>
      </c>
      <c r="G1" s="7" t="inlineStr">
        <is>
          <t>Enter the top-left subwell concentration:</t>
        </is>
      </c>
      <c r="H1" s="2" t="inlineStr">
        <is>
          <t>10</t>
        </is>
      </c>
      <c r="J1" s="8" t="inlineStr">
        <is>
          <t>All tags:</t>
        </is>
      </c>
      <c r="K1" s="2" t="inlineStr">
        <is>
          <t xml:space="preserve">06-05-2025, Wizard__WZ, 10xHis-1TEL-sfGFP-Long-SR-DARPin, 10, 20, 1, 1TEL, 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inlineStr">
        <is>
          <t>20</t>
        </is>
      </c>
    </row>
    <row r="3" ht="15" customHeight="1">
      <c r="C3" s="8" t="inlineStr">
        <is>
          <t>Crystal Screen:</t>
        </is>
      </c>
      <c r="D3" s="2" t="inlineStr">
        <is>
          <t>Wizard__WZ</t>
        </is>
      </c>
      <c r="G3" s="7" t="inlineStr">
        <is>
          <t>Enter the bottom-left subwell concentration:</t>
        </is>
      </c>
      <c r="H3" s="2" t="inlineStr">
        <is>
          <t>1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10xHis-1TEL-sfGFP-Long-SR-DARPin</t>
        </is>
      </c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_xlfn.TEXTJOIN("",FALSE,$H$3,"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21">
        <f>_xlfn.TEXTJOIN("",FALSE,$H$1," mg/mL")</f>
        <v/>
      </c>
      <c r="AV53" s="22" t="inlineStr">
        <is>
          <t>1TEL_10xHis-1TEL-sfGFP-Long-SR-DARPin_Wizard__WZ_D10_top_left_06-05-2025_07-28-2025-10-22-08</t>
        </is>
      </c>
      <c r="AW53" s="21">
        <f>_xlfn.TEXTJOIN("",FALSE,$H$2," mg/mL")</f>
        <v/>
      </c>
      <c r="AX53" s="29" t="inlineStr">
        <is>
          <t>1TEL_10xHis-1TEL-sfGFP-Long-SR-DARPin_Wizard__WZ_D10_top_right_06-05-2025_07-28-2025-10-22-08</t>
        </is>
      </c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23" t="inlineStr">
        <is>
          <t>Days to 1st Crystal:</t>
        </is>
      </c>
      <c r="AV54" s="24" t="inlineStr">
        <is>
          <t>53</t>
        </is>
      </c>
      <c r="AW54" s="23" t="inlineStr">
        <is>
          <t>Days to 1st Crystal:</t>
        </is>
      </c>
      <c r="AX54" s="29" t="inlineStr">
        <is>
          <t>53</t>
        </is>
      </c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23" t="inlineStr">
        <is>
          <t>Size of largest Crystal:</t>
        </is>
      </c>
      <c r="AV55" s="24" t="inlineStr">
        <is>
          <t>16x11 um</t>
        </is>
      </c>
      <c r="AW55" s="23" t="inlineStr">
        <is>
          <t>Size of largest Crystal:</t>
        </is>
      </c>
      <c r="AX55" s="29" t="inlineStr">
        <is>
          <t>32x30 um</t>
        </is>
      </c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23" t="inlineStr">
        <is>
          <t>Number of harvestable crystals:</t>
        </is>
      </c>
      <c r="AV56" s="24" t="inlineStr">
        <is>
          <t>0</t>
        </is>
      </c>
      <c r="AW56" s="23" t="inlineStr">
        <is>
          <t>Number of harvestable crystals:</t>
        </is>
      </c>
      <c r="AX56" s="29" t="inlineStr">
        <is>
          <t>0</t>
        </is>
      </c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23" t="inlineStr">
        <is>
          <t>Shape:</t>
        </is>
      </c>
      <c r="AV57" s="24" t="inlineStr">
        <is>
          <t>Micro</t>
        </is>
      </c>
      <c r="AW57" s="23" t="inlineStr">
        <is>
          <t>Shape:</t>
        </is>
      </c>
      <c r="AX57" s="29" t="inlineStr">
        <is>
          <t>Spherulite</t>
        </is>
      </c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23" t="inlineStr">
        <is>
          <t>Contaminants:</t>
        </is>
      </c>
      <c r="AV58" s="24" t="inlineStr">
        <is>
          <t>Possible salt crystals: False, precipitation: False, microcrystals: True, glassy protein or artifacts: True</t>
        </is>
      </c>
      <c r="AW58" s="23" t="inlineStr">
        <is>
          <t>Contaminants:</t>
        </is>
      </c>
      <c r="AX58" s="29" t="inlineStr">
        <is>
          <t>Possible salt crystals: False, precipitation: True, microcrystals: True, glassy protein or artifacts: True</t>
        </is>
      </c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25" t="inlineStr">
        <is>
          <t>Notes:</t>
        </is>
      </c>
      <c r="AV59" s="26" t="inlineStr">
        <is>
          <t xml:space="preserve">Lots of microcrystals.
</t>
        </is>
      </c>
      <c r="AW59" s="25" t="inlineStr">
        <is>
          <t>Notes:</t>
        </is>
      </c>
      <c r="AX59" s="30" t="inlineStr">
        <is>
          <t xml:space="preserve">Spherulites
</t>
        </is>
      </c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21">
        <f>_xlfn.TEXTJOIN("",FALSE,$H$3," mg/mL")</f>
        <v/>
      </c>
      <c r="AV60" s="22" t="inlineStr">
        <is>
          <t>1TEL_10xHis-1TEL-sfGFP-Long-SR-DARPin_Wizard__WZ_D10_bottom_left_06-05-2025_07-28-2025-10-22-08</t>
        </is>
      </c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23" t="inlineStr">
        <is>
          <t>Days to 1st Crystal:</t>
        </is>
      </c>
      <c r="AV61" s="24" t="inlineStr">
        <is>
          <t>53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23" t="inlineStr">
        <is>
          <t>Size of largest Crystal:</t>
        </is>
      </c>
      <c r="AV62" s="24" t="inlineStr">
        <is>
          <t>14x11 um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23" t="inlineStr">
        <is>
          <t>Number of harvestable crystals:</t>
        </is>
      </c>
      <c r="AV63" s="24" t="inlineStr">
        <is>
          <t>0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23" t="inlineStr">
        <is>
          <t>Shape:</t>
        </is>
      </c>
      <c r="AV64" s="24" t="inlineStr">
        <is>
          <t>Micro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23" t="inlineStr">
        <is>
          <t>Contaminants:</t>
        </is>
      </c>
      <c r="AV65" s="24" t="inlineStr">
        <is>
          <t>Possible salt crystals: False, precipitation: False, microcrystals: True, glassy protein or artifacts: True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27" t="inlineStr">
        <is>
          <t>Notes:</t>
        </is>
      </c>
      <c r="AV66" s="28" t="inlineStr">
        <is>
          <t xml:space="preserve">Lots of microcrystals.
</t>
        </is>
      </c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hyperlinks>
    <hyperlink xmlns:r="http://schemas.openxmlformats.org/officeDocument/2006/relationships" ref="AV53" r:id="rId1"/>
    <hyperlink xmlns:r="http://schemas.openxmlformats.org/officeDocument/2006/relationships" ref="AX53" r:id="rId2"/>
    <hyperlink xmlns:r="http://schemas.openxmlformats.org/officeDocument/2006/relationships" ref="AV60" r:id="rId3"/>
  </hyperlinks>
  <pageMargins left="0" right="0" top="0" bottom="0" header="0" footer="0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06-05-2025_PI_10xHis-1TEL-sfGFP-Long-SR-DARPin_1</t>
        </is>
      </c>
      <c r="C1" s="7" t="inlineStr">
        <is>
          <t>Date set:</t>
        </is>
      </c>
      <c r="D1" s="2" t="inlineStr">
        <is>
          <t>06-05-2025</t>
        </is>
      </c>
      <c r="G1" s="7" t="inlineStr">
        <is>
          <t>Enter the top-left subwell concentration:</t>
        </is>
      </c>
      <c r="H1" s="2" t="inlineStr">
        <is>
          <t>10</t>
        </is>
      </c>
      <c r="J1" s="8" t="inlineStr">
        <is>
          <t>All tags:</t>
        </is>
      </c>
      <c r="K1" s="2" t="inlineStr">
        <is>
          <t xml:space="preserve">06-05-2025, PEG_Ion__PI, 10xHis-1TEL-sfGFP-Long-SR-DARPin, 10, 20, 1, 1TEL, 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inlineStr">
        <is>
          <t>20</t>
        </is>
      </c>
    </row>
    <row r="3" ht="15" customHeight="1">
      <c r="C3" s="8" t="inlineStr">
        <is>
          <t>Crystal Screen:</t>
        </is>
      </c>
      <c r="D3" s="2" t="inlineStr">
        <is>
          <t>PEG_Ion__PI</t>
        </is>
      </c>
      <c r="G3" s="7" t="inlineStr">
        <is>
          <t>Enter the bottom-left subwell concentration:</t>
        </is>
      </c>
      <c r="H3" s="2" t="inlineStr">
        <is>
          <t>1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10xHis-1TEL-sfGFP-Long-SR-DARPin</t>
        </is>
      </c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21">
        <f>_xlfn.TEXTJOIN("",FALSE,$H$2," mg/mL")</f>
        <v/>
      </c>
      <c r="T38" s="29" t="inlineStr">
        <is>
          <t>1TEL_10xHis-1TEL-sfGFP-Long-SR-DARPin_PEG_Ion__PI_C4_top_right_06-05-2025_07-28-2025-10-41-18</t>
        </is>
      </c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23" t="inlineStr">
        <is>
          <t>Days to 1st Crystal:</t>
        </is>
      </c>
      <c r="T39" s="29" t="inlineStr">
        <is>
          <t>53</t>
        </is>
      </c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23" t="inlineStr">
        <is>
          <t>Size of largest Crystal:</t>
        </is>
      </c>
      <c r="T40" s="29" t="inlineStr">
        <is>
          <t>9x4 um</t>
        </is>
      </c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23" t="inlineStr">
        <is>
          <t>Number of harvestable crystals:</t>
        </is>
      </c>
      <c r="T41" s="29" t="inlineStr">
        <is>
          <t>0</t>
        </is>
      </c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23" t="inlineStr">
        <is>
          <t>Shape:</t>
        </is>
      </c>
      <c r="T42" s="29" t="inlineStr">
        <is>
          <t>Micro</t>
        </is>
      </c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23" t="inlineStr">
        <is>
          <t>Contaminants:</t>
        </is>
      </c>
      <c r="T43" s="29" t="inlineStr">
        <is>
          <t>Possible salt crystals: False, precipitation: True, microcrystals: True, glassy protein or artifacts: False</t>
        </is>
      </c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25" t="inlineStr">
        <is>
          <t>Notes:</t>
        </is>
      </c>
      <c r="T44" s="30" t="inlineStr">
        <is>
          <t xml:space="preserve">Lots of microcrystals
</t>
        </is>
      </c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21">
        <f>_xlfn.TEXTJOIN("",FALSE,$H$3," mg/mL")</f>
        <v/>
      </c>
      <c r="R45" s="22" t="inlineStr">
        <is>
          <t>1TEL_10xHis-1TEL-sfGFP-Long-SR-DARPin_PEG_Ion__PI_C4_bottom_left_06-05-2025_07-28-2025-10-41-18</t>
        </is>
      </c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23" t="inlineStr">
        <is>
          <t>Days to 1st Crystal:</t>
        </is>
      </c>
      <c r="R46" s="24" t="inlineStr">
        <is>
          <t>53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23" t="inlineStr">
        <is>
          <t>Size of largest Crystal:</t>
        </is>
      </c>
      <c r="R47" s="24" t="inlineStr">
        <is>
          <t>44x46 um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23" t="inlineStr">
        <is>
          <t>Number of harvestable crystals:</t>
        </is>
      </c>
      <c r="R48" s="24" t="inlineStr">
        <is>
          <t>0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23" t="inlineStr">
        <is>
          <t>Shape:</t>
        </is>
      </c>
      <c r="R49" s="24" t="inlineStr">
        <is>
          <t>Spherulite and micro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23" t="inlineStr">
        <is>
          <t>Contaminants:</t>
        </is>
      </c>
      <c r="R50" s="24" t="inlineStr">
        <is>
          <t>Possible salt crystals: False, precipitation: True, microcrystals: True, glassy protein or artifacts: True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27" t="inlineStr">
        <is>
          <t>Notes:</t>
        </is>
      </c>
      <c r="R51" s="28" t="inlineStr">
        <is>
          <t xml:space="preserve">Spherulites and lots of microcrystals
</t>
        </is>
      </c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hyperlinks>
    <hyperlink xmlns:r="http://schemas.openxmlformats.org/officeDocument/2006/relationships" ref="T38" r:id="rId1"/>
    <hyperlink xmlns:r="http://schemas.openxmlformats.org/officeDocument/2006/relationships" ref="R45" r:id="rId2"/>
  </hyperlinks>
  <pageMargins left="0" right="0" top="0" bottom="0" header="0" footer="0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BH126"/>
  <sheetViews>
    <sheetView topLeftCell="AX91" workbookViewId="0">
      <selection activeCell="BH105" sqref="BH105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06-05-2025_IN_10xHis-1TEL-sfGFP-Long-SR-DARPin_1</t>
        </is>
      </c>
      <c r="C1" s="7" t="inlineStr">
        <is>
          <t>Date set:</t>
        </is>
      </c>
      <c r="D1" s="2" t="inlineStr">
        <is>
          <t>06-05-2025</t>
        </is>
      </c>
      <c r="G1" s="7" t="inlineStr">
        <is>
          <t>Enter the top-left subwell concentration:</t>
        </is>
      </c>
      <c r="H1" s="2" t="inlineStr">
        <is>
          <t>10</t>
        </is>
      </c>
      <c r="J1" s="8" t="inlineStr">
        <is>
          <t>All tags:</t>
        </is>
      </c>
      <c r="K1" s="2" t="inlineStr">
        <is>
          <t xml:space="preserve">06-05-2025, Index__IN, 10xHis-1TEL-sfGFP-Long-SR-DARPin, 10, 20, 1, 1TEL, 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inlineStr">
        <is>
          <t>20</t>
        </is>
      </c>
    </row>
    <row r="3" ht="15" customHeight="1">
      <c r="C3" s="8" t="inlineStr">
        <is>
          <t>Crystal Screen:</t>
        </is>
      </c>
      <c r="D3" s="2" t="inlineStr">
        <is>
          <t>Index__IN</t>
        </is>
      </c>
      <c r="G3" s="7" t="inlineStr">
        <is>
          <t>Enter the bottom-left subwell concentration:</t>
        </is>
      </c>
      <c r="H3" s="2" t="inlineStr">
        <is>
          <t>1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10xHis-1TEL-sfGFP-Long-SR-DARPin</t>
        </is>
      </c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_xlfn.TEXTJOIN("",FALSE,$H$3,"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21">
        <f>_xlfn.TEXTJOIN("",FALSE,$H$1," mg/mL")</f>
        <v/>
      </c>
      <c r="BF98" s="22" t="inlineStr">
        <is>
          <t>1TEL_10xHis-1TEL-sfGFP-Long-SR-DARPin_Index__IN_G12_top_left_06-05-2025_07-28-2025-12-11-05</t>
        </is>
      </c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23" t="inlineStr">
        <is>
          <t>Days to 1st Crystal:</t>
        </is>
      </c>
      <c r="BF99" s="24" t="inlineStr">
        <is>
          <t>53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23" t="inlineStr">
        <is>
          <t>Size of largest Crystal:</t>
        </is>
      </c>
      <c r="BF100" s="24" t="inlineStr">
        <is>
          <t>32x103 um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23" t="inlineStr">
        <is>
          <t>Number of harvestable crystals:</t>
        </is>
      </c>
      <c r="BF101" s="24" t="inlineStr">
        <is>
          <t>1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23" t="inlineStr">
        <is>
          <t>Shape:</t>
        </is>
      </c>
      <c r="BF102" s="24" t="inlineStr">
        <is>
          <t>Rod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23" t="inlineStr">
        <is>
          <t>Contaminants:</t>
        </is>
      </c>
      <c r="BF103" s="24" t="inlineStr">
        <is>
          <t>Possible salt crystals: True, precipitation: True, microcrystals: False, glassy protein or artifacts: False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25" t="inlineStr">
        <is>
          <t>Notes:</t>
        </is>
      </c>
      <c r="BF104" s="26" t="inlineStr">
        <is>
          <t xml:space="preserve">May be two crystals. Appears bent. Not a great specimen.
</t>
        </is>
      </c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21">
        <f>_xlfn.TEXTJOIN("",FALSE,$H$3," mg/mL")</f>
        <v/>
      </c>
      <c r="BF105" s="22" t="inlineStr">
        <is>
          <t>1TEL_10xHis-1TEL-sfGFP-Long-SR-DARPin_Index__IN_G12_bottom_left_06-05-2025_07-28-2025-12-11-05</t>
        </is>
      </c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23" t="inlineStr">
        <is>
          <t>Days to 1st Crystal:</t>
        </is>
      </c>
      <c r="BF106" s="24" t="inlineStr">
        <is>
          <t>53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23" t="inlineStr">
        <is>
          <t>Size of largest Crystal:</t>
        </is>
      </c>
      <c r="BF107" s="24" t="inlineStr">
        <is>
          <t>60x30 um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23" t="inlineStr">
        <is>
          <t>Number of harvestable crystals:</t>
        </is>
      </c>
      <c r="BF108" s="24" t="inlineStr">
        <is>
          <t>1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23" t="inlineStr">
        <is>
          <t>Shape:</t>
        </is>
      </c>
      <c r="BF109" s="24" t="inlineStr">
        <is>
          <t>Bubble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23" t="inlineStr">
        <is>
          <t>Contaminants:</t>
        </is>
      </c>
      <c r="BF110" s="24" t="inlineStr">
        <is>
          <t>Possible salt crystals: True, precipitation: True, microcrystals: True, glassy protein or artifacts: False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27" t="inlineStr">
        <is>
          <t>Notes:</t>
        </is>
      </c>
      <c r="BF111" s="28" t="inlineStr">
        <is>
          <t xml:space="preserve">May be salt. Rounded edges.
</t>
        </is>
      </c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hyperlinks>
    <hyperlink xmlns:r="http://schemas.openxmlformats.org/officeDocument/2006/relationships" ref="BF98" r:id="rId1"/>
    <hyperlink xmlns:r="http://schemas.openxmlformats.org/officeDocument/2006/relationships" ref="BF105" r:id="rId2"/>
  </hyperlinks>
  <pageMargins left="0" right="0" top="0" bottom="0" header="0" footer="0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E12" sqref="E12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9.140625" customWidth="1" min="6" max="6"/>
    <col width="19.85546875" customWidth="1" min="7" max="7"/>
    <col outlineLevel="1" width="19.85546875" customWidth="1" min="8" max="10"/>
    <col width="9.140625" customWidth="1" min="11" max="11"/>
    <col width="19.85546875" customWidth="1" min="12" max="12"/>
    <col outlineLevel="1" width="19.85546875" customWidth="1" min="13" max="15"/>
    <col width="9.140625" customWidth="1" min="16" max="16"/>
    <col width="19.85546875" customWidth="1" min="17" max="17"/>
    <col outlineLevel="1" width="19.85546875" customWidth="1" min="18" max="20"/>
    <col width="9.140625" customWidth="1" min="21" max="21"/>
    <col width="19.85546875" customWidth="1" min="22" max="22"/>
    <col outlineLevel="1" width="19.85546875" customWidth="1" min="23" max="25"/>
    <col width="9.140625" customWidth="1" min="26" max="26"/>
    <col width="19.85546875" customWidth="1" min="27" max="27"/>
    <col outlineLevel="1" width="19.85546875" customWidth="1" min="28" max="30"/>
    <col width="9.140625" customWidth="1" min="31" max="31"/>
    <col width="19.85546875" customWidth="1" min="32" max="32"/>
    <col outlineLevel="1" width="19.85546875" customWidth="1" min="33" max="35"/>
    <col width="9.140625" customWidth="1" min="36" max="36"/>
    <col width="19.85546875" customWidth="1" min="37" max="37"/>
    <col outlineLevel="1" width="19.85546875" customWidth="1" min="38" max="40"/>
    <col width="9.140625" customWidth="1" min="41" max="41"/>
    <col width="19.85546875" customWidth="1" min="42" max="42"/>
    <col outlineLevel="1" width="19.85546875" customWidth="1" min="43" max="45"/>
    <col width="9.140625" customWidth="1" min="46" max="46"/>
    <col width="19.85546875" customWidth="1" min="47" max="47"/>
    <col outlineLevel="1" width="19.85546875" customWidth="1" min="48" max="50"/>
    <col width="9.140625" customWidth="1" min="51" max="51"/>
    <col width="19.85546875" customWidth="1" min="52" max="52"/>
    <col outlineLevel="1" width="19.85546875" customWidth="1" min="53" max="55"/>
    <col width="9.140625" customWidth="1" min="56" max="56"/>
    <col width="19.85546875" customWidth="1" min="57" max="57"/>
    <col outlineLevel="1" width="19.85546875" customWidth="1" min="58" max="60"/>
  </cols>
  <sheetData>
    <row r="1" ht="15" customHeight="1">
      <c r="A1" t="inlineStr">
        <is>
          <t>05-15-2025_SR_10xHis-1TEL-TV-vWa_1</t>
        </is>
      </c>
      <c r="C1" s="7" t="inlineStr">
        <is>
          <t>Date set:</t>
        </is>
      </c>
      <c r="D1" s="2" t="inlineStr">
        <is>
          <t>05-15-2025</t>
        </is>
      </c>
      <c r="G1" s="7" t="inlineStr">
        <is>
          <t>Enter the top-left subwell concentration:</t>
        </is>
      </c>
      <c r="H1" s="2" t="n"/>
      <c r="J1" s="8" t="inlineStr">
        <is>
          <t>All tags:</t>
        </is>
      </c>
      <c r="K1" s="2" t="inlineStr">
        <is>
          <t>05-15-2025, Salt_Rx__SR, 10xHis-1TEL-TV-vWa, None, None, None, 1TEL, TopLeftMayBe15, BottomLeftMayBe5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n"/>
    </row>
    <row r="3" ht="15" customHeight="1">
      <c r="C3" s="8" t="inlineStr">
        <is>
          <t>Crystal Screen:</t>
        </is>
      </c>
      <c r="D3" s="2" t="inlineStr">
        <is>
          <t>Salt_Rx__SR</t>
        </is>
      </c>
      <c r="G3" s="7" t="inlineStr">
        <is>
          <t>Enter the bottom-left subwell concentration:</t>
        </is>
      </c>
      <c r="H3" s="2" t="n"/>
    </row>
    <row r="4" ht="15.75" customHeight="1">
      <c r="A4" s="1" t="n"/>
      <c r="C4" s="8" t="inlineStr">
        <is>
          <t>Target Protein:</t>
        </is>
      </c>
      <c r="D4" s="2" t="inlineStr">
        <is>
          <t>10xHis-1TEL-TV-vWa</t>
        </is>
      </c>
    </row>
    <row r="5" ht="15" customHeight="1">
      <c r="C5" s="8" t="inlineStr">
        <is>
          <t>Custom Tags:</t>
        </is>
      </c>
      <c r="D5" s="2" t="inlineStr">
        <is>
          <t>TopLeftMayBe15, BottomLeftMayBe5</t>
        </is>
      </c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_xlfn.TEXTJOIN("",FALSE,$H$3,"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21">
        <f>_xlfn.TEXTJOIN("",FALSE,$H$1," mg/mL")</f>
        <v/>
      </c>
      <c r="AB68" s="22" t="inlineStr">
        <is>
          <t>1TEL_10xHis-1TEL-TV-vWa_Salt_Rx__SR_E6_top_left_05-15-2025_07-31-2025-16-18-32_harvested</t>
        </is>
      </c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23" t="inlineStr">
        <is>
          <t>Days to 1st Crystal:</t>
        </is>
      </c>
      <c r="AB69" s="24" t="inlineStr">
        <is>
          <t>74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23" t="inlineStr">
        <is>
          <t>Size of largest Crystal:</t>
        </is>
      </c>
      <c r="AB70" s="24" t="inlineStr">
        <is>
          <t>120x101 um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23" t="inlineStr">
        <is>
          <t>Number of harvestable crystals:</t>
        </is>
      </c>
      <c r="AB71" s="24" t="inlineStr">
        <is>
          <t>14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23" t="inlineStr">
        <is>
          <t>Shape:</t>
        </is>
      </c>
      <c r="AB72" s="24" t="inlineStr">
        <is>
          <t>Comets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23" t="inlineStr">
        <is>
          <t>Contaminants:</t>
        </is>
      </c>
      <c r="AB73" s="24" t="inlineStr">
        <is>
          <t>Possible salt crystals: False, precipitation: True, microcrystals: False, glassy protein or artifacts: False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25" t="inlineStr">
        <is>
          <t>Notes:</t>
        </is>
      </c>
      <c r="AB74" s="26" t="inlineStr">
        <is>
          <t xml:space="preserve">Post-CrystalDex processing
</t>
        </is>
      </c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hyperlinks>
    <hyperlink xmlns:r="http://schemas.openxmlformats.org/officeDocument/2006/relationships" ref="AB68" r:id="rId1"/>
  </hyperlinks>
  <pageMargins left="0" right="0" top="0" bottom="0" header="0" footer="0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BH126"/>
  <sheetViews>
    <sheetView topLeftCell="U82" workbookViewId="0">
      <selection activeCell="V75" sqref="V75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05-15-2025_CS_10xHis-1TEL-TV-vWa_1</t>
        </is>
      </c>
      <c r="C1" s="7" t="inlineStr">
        <is>
          <t>Date set:</t>
        </is>
      </c>
      <c r="D1" s="2" t="inlineStr">
        <is>
          <t>05-15-2025</t>
        </is>
      </c>
      <c r="G1" s="7" t="inlineStr">
        <is>
          <t>Enter the top-left subwell concentration:</t>
        </is>
      </c>
      <c r="H1" s="2" t="n"/>
      <c r="J1" s="8" t="inlineStr">
        <is>
          <t>All tags:</t>
        </is>
      </c>
      <c r="K1" s="2" t="inlineStr">
        <is>
          <t>05-15-2025, Crystal_Screen__CS, 10xHis-1TEL-TV-vWa, , , , 1TEL, TopLeftMayBe15, BottomLeftMayBe5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n"/>
    </row>
    <row r="3" ht="15" customHeight="1">
      <c r="C3" s="8" t="inlineStr">
        <is>
          <t>Crystal Screen:</t>
        </is>
      </c>
      <c r="D3" s="2" t="inlineStr">
        <is>
          <t>Crystal_Screen__CS</t>
        </is>
      </c>
      <c r="G3" s="7" t="inlineStr">
        <is>
          <t>Enter the bottom-left subwell concentration:</t>
        </is>
      </c>
      <c r="H3" s="2" t="n"/>
    </row>
    <row r="4" ht="15.75" customHeight="1">
      <c r="A4" s="1" t="n"/>
      <c r="C4" s="8" t="inlineStr">
        <is>
          <t>Target Protein:</t>
        </is>
      </c>
      <c r="D4" s="2" t="inlineStr">
        <is>
          <t>10xHis-1TEL-TV-vWa</t>
        </is>
      </c>
    </row>
    <row r="5" ht="15" customHeight="1">
      <c r="C5" s="8" t="inlineStr">
        <is>
          <t>Custom Tags:</t>
        </is>
      </c>
      <c r="D5" s="2" t="inlineStr">
        <is>
          <t>TopLeftMayBe15, BottomLeftMayBe5</t>
        </is>
      </c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_xlfn.TEXTJOIN("",FALSE,$H$3,"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6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B69" s="16" t="n"/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B70" s="16" t="n"/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B71" s="16" t="n"/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B72" s="16" t="n"/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B73" s="16" t="n"/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17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pageMargins left="0" right="0" top="0" bottom="0" header="0" footer="0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05-15-2025_WZ_10xHis-1TEL-TV-vWa_1</t>
        </is>
      </c>
      <c r="C1" s="7" t="inlineStr">
        <is>
          <t>Date set:</t>
        </is>
      </c>
      <c r="D1" s="2" t="inlineStr">
        <is>
          <t>05-15-2025</t>
        </is>
      </c>
      <c r="G1" s="7" t="inlineStr">
        <is>
          <t>Enter the top-left subwell concentration:</t>
        </is>
      </c>
      <c r="H1" s="2" t="n"/>
      <c r="J1" s="8" t="inlineStr">
        <is>
          <t>All tags:</t>
        </is>
      </c>
      <c r="K1" s="2" t="inlineStr">
        <is>
          <t>05-15-2025, Wizard__WZ, 10xHis-1TEL-TV-vWa, , , , 1TEL, TopLeftMayBe15,BottomLeftMayBe5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n"/>
    </row>
    <row r="3" ht="15" customHeight="1">
      <c r="C3" s="8" t="inlineStr">
        <is>
          <t>Crystal Screen:</t>
        </is>
      </c>
      <c r="D3" s="2" t="inlineStr">
        <is>
          <t>Wizard__WZ</t>
        </is>
      </c>
      <c r="G3" s="7" t="inlineStr">
        <is>
          <t>Enter the bottom-left subwell concentration:</t>
        </is>
      </c>
      <c r="H3" s="2" t="n"/>
    </row>
    <row r="4" ht="15.75" customHeight="1">
      <c r="A4" s="1" t="n"/>
      <c r="C4" s="8" t="inlineStr">
        <is>
          <t>Target Protein:</t>
        </is>
      </c>
      <c r="D4" s="2" t="inlineStr">
        <is>
          <t>10xHis-1TEL-TV-vWa</t>
        </is>
      </c>
    </row>
    <row r="5" ht="15" customHeight="1">
      <c r="C5" s="8" t="inlineStr">
        <is>
          <t>Custom Tags:</t>
        </is>
      </c>
      <c r="D5" s="2" t="inlineStr">
        <is>
          <t>TopLeftMayBe15,BottomLeftMayBe5</t>
        </is>
      </c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21">
        <f>_xlfn.TEXTJOIN("",FALSE,$H$1," mg/mL")</f>
        <v/>
      </c>
      <c r="BF8" s="22" t="inlineStr">
        <is>
          <t>1TEL_10xHis-1TEL-TV-vWa_Wizard__WZ_A12_top_left_05-15-2025_07-28-2025-13-00-23</t>
        </is>
      </c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23" t="inlineStr">
        <is>
          <t>Days to 1st Crystal:</t>
        </is>
      </c>
      <c r="BF9" s="24" t="inlineStr">
        <is>
          <t>74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23" t="inlineStr">
        <is>
          <t>Size of largest Crystal:</t>
        </is>
      </c>
      <c r="BF10" s="24" t="inlineStr">
        <is>
          <t>13x8 um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23" t="inlineStr">
        <is>
          <t>Number of harvestable crystals:</t>
        </is>
      </c>
      <c r="BF11" s="24" t="inlineStr">
        <is>
          <t>0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23" t="inlineStr">
        <is>
          <t>Shape:</t>
        </is>
      </c>
      <c r="BF12" s="24" t="inlineStr">
        <is>
          <t>Micro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23" t="inlineStr">
        <is>
          <t>Contaminants:</t>
        </is>
      </c>
      <c r="BF13" s="24" t="inlineStr">
        <is>
          <t>Possible salt crystals: False, precipitation: True, microcrystals: True, glassy protein or artifacts: False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25" t="inlineStr">
        <is>
          <t>Notes:</t>
        </is>
      </c>
      <c r="BF14" s="2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_xlfn.TEXTJOIN("",FALSE,$H$3,"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21">
        <f>_xlfn.TEXTJOIN("",FALSE,$H$3," mg/mL")</f>
        <v/>
      </c>
      <c r="AV60" s="22" t="inlineStr">
        <is>
          <t>1TEL_10xHis-1TEL-TV-vWa_Wizard__WZ_D10_bottom_left_05-15-2025_07-28-2025-13-00-23</t>
        </is>
      </c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23" t="inlineStr">
        <is>
          <t>Days to 1st Crystal:</t>
        </is>
      </c>
      <c r="AV61" s="24" t="inlineStr">
        <is>
          <t>74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23" t="inlineStr">
        <is>
          <t>Size of largest Crystal:</t>
        </is>
      </c>
      <c r="AV62" s="24" t="inlineStr">
        <is>
          <t>20x30 um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23" t="inlineStr">
        <is>
          <t>Number of harvestable crystals:</t>
        </is>
      </c>
      <c r="AV63" s="24" t="inlineStr">
        <is>
          <t>0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23" t="inlineStr">
        <is>
          <t>Shape:</t>
        </is>
      </c>
      <c r="AV64" s="24" t="inlineStr">
        <is>
          <t>Round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23" t="inlineStr">
        <is>
          <t>Contaminants:</t>
        </is>
      </c>
      <c r="AV65" s="24" t="inlineStr">
        <is>
          <t>Possible salt crystals: False, precipitation: False, microcrystals: False, glassy protein or artifacts: False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27" t="inlineStr">
        <is>
          <t>Notes:</t>
        </is>
      </c>
      <c r="AV66" s="28" t="inlineStr">
        <is>
          <t xml:space="preserve">Fairly sizable microcrystals
</t>
        </is>
      </c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hyperlinks>
    <hyperlink xmlns:r="http://schemas.openxmlformats.org/officeDocument/2006/relationships" ref="BF8" r:id="rId1"/>
    <hyperlink xmlns:r="http://schemas.openxmlformats.org/officeDocument/2006/relationships" ref="AV60" r:id="rId2"/>
  </hyperlinks>
  <pageMargins left="0" right="0" top="0" bottom="0" header="0" footer="0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06-05-2025_PI_10xHis-1TEL-TV-vWa_1</t>
        </is>
      </c>
      <c r="C1" s="7" t="inlineStr">
        <is>
          <t>Date set:</t>
        </is>
      </c>
      <c r="D1" s="2" t="inlineStr">
        <is>
          <t>06-05-2025</t>
        </is>
      </c>
      <c r="G1" s="7" t="inlineStr">
        <is>
          <t>Enter the top-left subwell concentration:</t>
        </is>
      </c>
      <c r="H1" s="2" t="n"/>
      <c r="J1" s="8" t="inlineStr">
        <is>
          <t>All tags:</t>
        </is>
      </c>
      <c r="K1" s="2" t="inlineStr">
        <is>
          <t xml:space="preserve">06-05-2025, PEG_Ion__PI, 10xHis-1TEL-TV-vWa, , , 15, 1TEL, 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n"/>
    </row>
    <row r="3" ht="15" customHeight="1">
      <c r="C3" s="8" t="inlineStr">
        <is>
          <t>Crystal Screen:</t>
        </is>
      </c>
      <c r="D3" s="2" t="inlineStr">
        <is>
          <t>PEG_Ion__PI</t>
        </is>
      </c>
      <c r="G3" s="7" t="inlineStr">
        <is>
          <t>Enter the bottom-left subwell concentration:</t>
        </is>
      </c>
      <c r="H3" s="2" t="inlineStr">
        <is>
          <t>15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10xHis-1TEL-TV-vWa</t>
        </is>
      </c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21">
        <f>_xlfn.TEXTJOIN("",FALSE,$H$3," mg/mL")</f>
        <v/>
      </c>
      <c r="R45" s="22" t="inlineStr">
        <is>
          <t>1TEL_10xHis-1TEL-TV-vWa_PEG_Ion__PI_C4_bottom_left_06-05-2025_07-29-2025-09-09-01</t>
        </is>
      </c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23" t="inlineStr">
        <is>
          <t>Days to 1st Crystal:</t>
        </is>
      </c>
      <c r="R46" s="24" t="inlineStr">
        <is>
          <t>54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23" t="inlineStr">
        <is>
          <t>Size of largest Crystal:</t>
        </is>
      </c>
      <c r="R47" s="24" t="inlineStr">
        <is>
          <t>30x21 um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23" t="inlineStr">
        <is>
          <t>Number of harvestable crystals:</t>
        </is>
      </c>
      <c r="R48" s="24" t="inlineStr">
        <is>
          <t>0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23" t="inlineStr">
        <is>
          <t>Shape:</t>
        </is>
      </c>
      <c r="R49" s="24" t="inlineStr">
        <is>
          <t>Micro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23" t="inlineStr">
        <is>
          <t>Contaminants:</t>
        </is>
      </c>
      <c r="R50" s="24" t="inlineStr">
        <is>
          <t>Possible salt crystals: False, precipitation: True, microcrystals: True, glassy protein or artifacts: False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27" t="inlineStr">
        <is>
          <t>Notes:</t>
        </is>
      </c>
      <c r="R51" s="28" t="inlineStr">
        <is>
          <t xml:space="preserve">Variable sizes
</t>
        </is>
      </c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hyperlinks>
    <hyperlink xmlns:r="http://schemas.openxmlformats.org/officeDocument/2006/relationships" ref="R45" r:id="rId1"/>
  </hyperlinks>
  <pageMargins left="0" right="0" top="0" bottom="0" header="0" footer="0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06-03-2025_WZ_2Trig-1TEL-TV-vWa_1</t>
        </is>
      </c>
      <c r="C1" s="7" t="inlineStr">
        <is>
          <t>Date set:</t>
        </is>
      </c>
      <c r="D1" s="2" t="inlineStr">
        <is>
          <t>06-03-2025</t>
        </is>
      </c>
      <c r="G1" s="7" t="inlineStr">
        <is>
          <t>Enter the top-left subwell concentration:</t>
        </is>
      </c>
      <c r="H1" s="2" t="inlineStr">
        <is>
          <t>15</t>
        </is>
      </c>
      <c r="J1" s="8" t="inlineStr">
        <is>
          <t>All tags:</t>
        </is>
      </c>
      <c r="K1" s="2" t="inlineStr">
        <is>
          <t xml:space="preserve">06-03-2025, Wizard__WZ, 2Trig-1TEL-TV-vWa, 15, 20, 1, 1TEL, 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inlineStr">
        <is>
          <t>20</t>
        </is>
      </c>
    </row>
    <row r="3" ht="15" customHeight="1">
      <c r="C3" s="8" t="inlineStr">
        <is>
          <t>Crystal Screen:</t>
        </is>
      </c>
      <c r="D3" s="2" t="inlineStr">
        <is>
          <t>Wizard__WZ</t>
        </is>
      </c>
      <c r="G3" s="7" t="inlineStr">
        <is>
          <t>Enter the bottom-left subwell concentration:</t>
        </is>
      </c>
      <c r="H3" s="2" t="inlineStr">
        <is>
          <t>1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2Trig-1TEL-TV-vWa</t>
        </is>
      </c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21">
        <f>_xlfn.TEXTJOIN("",FALSE,$H$1," mg/mL")</f>
        <v/>
      </c>
      <c r="BF8" s="22" t="inlineStr">
        <is>
          <t>1TEL_2Trig-1TEL-TV-vWa_Wizard__WZ_A12_top_left_06-03-2025_07-29-2025-10-37-27</t>
        </is>
      </c>
      <c r="BG8" s="21">
        <f>_xlfn.TEXTJOIN("",FALSE,$H$2," mg/mL")</f>
        <v/>
      </c>
      <c r="BH8" s="29" t="inlineStr">
        <is>
          <t>1TEL_2Trig-1TEL-TV-vWa_Wizard__WZ_A12_top_right_06-03-2025_07-29-2025-10-37-27</t>
        </is>
      </c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23" t="inlineStr">
        <is>
          <t>Days to 1st Crystal:</t>
        </is>
      </c>
      <c r="BF9" s="24" t="inlineStr">
        <is>
          <t>56</t>
        </is>
      </c>
      <c r="BG9" s="23" t="inlineStr">
        <is>
          <t>Days to 1st Crystal:</t>
        </is>
      </c>
      <c r="BH9" s="29" t="inlineStr">
        <is>
          <t>56</t>
        </is>
      </c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23" t="inlineStr">
        <is>
          <t>Size of largest Crystal:</t>
        </is>
      </c>
      <c r="BF10" s="24" t="inlineStr">
        <is>
          <t>47x34 um</t>
        </is>
      </c>
      <c r="BG10" s="23" t="inlineStr">
        <is>
          <t>Size of largest Crystal:</t>
        </is>
      </c>
      <c r="BH10" s="29" t="inlineStr">
        <is>
          <t>34x30 um</t>
        </is>
      </c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23" t="inlineStr">
        <is>
          <t>Number of harvestable crystals:</t>
        </is>
      </c>
      <c r="BF11" s="24" t="inlineStr">
        <is>
          <t>0</t>
        </is>
      </c>
      <c r="BG11" s="23" t="inlineStr">
        <is>
          <t>Number of harvestable crystals:</t>
        </is>
      </c>
      <c r="BH11" s="29" t="inlineStr">
        <is>
          <t>0</t>
        </is>
      </c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23" t="inlineStr">
        <is>
          <t>Shape:</t>
        </is>
      </c>
      <c r="BF12" s="24" t="inlineStr">
        <is>
          <t>Blobby spherulites</t>
        </is>
      </c>
      <c r="BG12" s="23" t="inlineStr">
        <is>
          <t>Shape:</t>
        </is>
      </c>
      <c r="BH12" s="29" t="inlineStr">
        <is>
          <t>Blobby spherulites</t>
        </is>
      </c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23" t="inlineStr">
        <is>
          <t>Contaminants:</t>
        </is>
      </c>
      <c r="BF13" s="24" t="inlineStr">
        <is>
          <t>Possible salt crystals: False, precipitation: True, microcrystals: False, glassy protein or artifacts: True</t>
        </is>
      </c>
      <c r="BG13" s="23" t="inlineStr">
        <is>
          <t>Contaminants:</t>
        </is>
      </c>
      <c r="BH13" s="29" t="inlineStr">
        <is>
          <t>Possible salt crystals: False, precipitation: True, microcrystals: False, glassy protein or artifacts: True</t>
        </is>
      </c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25" t="inlineStr">
        <is>
          <t>Notes:</t>
        </is>
      </c>
      <c r="BF14" s="26" t="n"/>
      <c r="BG14" s="25" t="inlineStr">
        <is>
          <t>Notes:</t>
        </is>
      </c>
      <c r="BH14" s="30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_xlfn.TEXTJOIN("",FALSE,$H$3,"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21">
        <f>_xlfn.TEXTJOIN("",FALSE,$H$2," mg/mL")</f>
        <v/>
      </c>
      <c r="AX53" s="29" t="inlineStr">
        <is>
          <t>1TEL_2Trig-1TEL-TV-vWa_Wizard__WZ_D10_top_right_06-03-2025_07-29-2025-10-37-27</t>
        </is>
      </c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23" t="inlineStr">
        <is>
          <t>Days to 1st Crystal:</t>
        </is>
      </c>
      <c r="AX54" s="29" t="inlineStr">
        <is>
          <t>56</t>
        </is>
      </c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23" t="inlineStr">
        <is>
          <t>Size of largest Crystal:</t>
        </is>
      </c>
      <c r="AX55" s="29" t="inlineStr">
        <is>
          <t>25x21 um</t>
        </is>
      </c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23" t="inlineStr">
        <is>
          <t>Number of harvestable crystals:</t>
        </is>
      </c>
      <c r="AX56" s="29" t="inlineStr">
        <is>
          <t>0</t>
        </is>
      </c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23" t="inlineStr">
        <is>
          <t>Shape:</t>
        </is>
      </c>
      <c r="AX57" s="29" t="inlineStr">
        <is>
          <t>Blob</t>
        </is>
      </c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23" t="inlineStr">
        <is>
          <t>Contaminants:</t>
        </is>
      </c>
      <c r="AX58" s="29" t="inlineStr">
        <is>
          <t>Possible salt crystals: False, precipitation: True, microcrystals: True, glassy protein or artifacts: True</t>
        </is>
      </c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25" t="inlineStr">
        <is>
          <t>Notes:</t>
        </is>
      </c>
      <c r="AX59" s="30" t="inlineStr">
        <is>
          <t xml:space="preserve">Blobby microcrystals
</t>
        </is>
      </c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hyperlinks>
    <hyperlink xmlns:r="http://schemas.openxmlformats.org/officeDocument/2006/relationships" ref="BF8" r:id="rId1"/>
    <hyperlink xmlns:r="http://schemas.openxmlformats.org/officeDocument/2006/relationships" ref="BH8" r:id="rId2"/>
    <hyperlink xmlns:r="http://schemas.openxmlformats.org/officeDocument/2006/relationships" ref="AX53" r:id="rId3"/>
  </hyperlinks>
  <pageMargins left="0" right="0" top="0" bottom="0" header="0" footer="0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07-12-2025_OV_2Trig-1TEL-TV-vWa Optimization_1</t>
        </is>
      </c>
      <c r="C1" s="7" t="inlineStr">
        <is>
          <t>Date set:</t>
        </is>
      </c>
      <c r="D1" s="2" t="inlineStr">
        <is>
          <t>07-12-2025</t>
        </is>
      </c>
      <c r="G1" s="7" t="inlineStr">
        <is>
          <t>Enter the top-left subwell concentration:</t>
        </is>
      </c>
      <c r="H1" s="2" t="inlineStr">
        <is>
          <t>15.4</t>
        </is>
      </c>
      <c r="J1" s="8" t="inlineStr">
        <is>
          <t>All tags:</t>
        </is>
      </c>
      <c r="K1" s="2" t="inlineStr">
        <is>
          <t xml:space="preserve">07-12-2025, 2Trig-1TEL-TV-vWaOpti1__OV, 2Trig-1TEL-TV-vWa Optimization, 15.4, , , 1TEL, 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n"/>
    </row>
    <row r="3" ht="15" customHeight="1">
      <c r="C3" s="8" t="inlineStr">
        <is>
          <t>Crystal Screen:</t>
        </is>
      </c>
      <c r="D3" s="2" t="inlineStr">
        <is>
          <t>2Trig-1TEL-TV-vWaOpti1__OV</t>
        </is>
      </c>
      <c r="G3" s="7" t="inlineStr">
        <is>
          <t>Enter the bottom-left subwell concentration:</t>
        </is>
      </c>
      <c r="H3" s="2" t="n"/>
    </row>
    <row r="4" ht="15.75" customHeight="1">
      <c r="A4" s="1" t="n"/>
      <c r="C4" s="8" t="inlineStr">
        <is>
          <t>Target Protein:</t>
        </is>
      </c>
      <c r="D4" s="2" t="inlineStr">
        <is>
          <t>2Trig-1TEL-TV-vWa Optimization</t>
        </is>
      </c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21">
        <f>_xlfn.TEXTJOIN("",FALSE,$H$1," mg/mL")</f>
        <v/>
      </c>
      <c r="C23" s="22" t="inlineStr">
        <is>
          <t>1TEL_2Trig-1TEL-TV-vWa Optimization_2Trig-1TEL-TV-vWaOpti1__OV_B1_top_left_07-12-2025_07-30-2025-13-52-34</t>
        </is>
      </c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23" t="inlineStr">
        <is>
          <t>Days to 1st Crystal:</t>
        </is>
      </c>
      <c r="C24" s="24" t="inlineStr">
        <is>
          <t>18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23" t="inlineStr">
        <is>
          <t>Size of largest Crystal:</t>
        </is>
      </c>
      <c r="C25" s="24" t="inlineStr">
        <is>
          <t>25x2 um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23" t="inlineStr">
        <is>
          <t>Number of harvestable crystals:</t>
        </is>
      </c>
      <c r="C26" s="24" t="inlineStr">
        <is>
          <t>0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23" t="inlineStr">
        <is>
          <t>Shape:</t>
        </is>
      </c>
      <c r="C27" s="24" t="inlineStr">
        <is>
          <t>tiny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23" t="inlineStr">
        <is>
          <t>Contaminants:</t>
        </is>
      </c>
      <c r="C28" s="24" t="inlineStr">
        <is>
          <t>Possible salt crystals: False, precipitation: False, microcrystals: True, glassy protein or artifacts: False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25" t="inlineStr">
        <is>
          <t>Notes:</t>
        </is>
      </c>
      <c r="C29" s="26" t="inlineStr">
        <is>
          <t xml:space="preserve">tiny 
</t>
        </is>
      </c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21">
        <f>_xlfn.TEXTJOIN("",FALSE,$H$1," mg/mL")</f>
        <v/>
      </c>
      <c r="C38" s="22" t="inlineStr">
        <is>
          <t>1TEL_2Trig-1TEL-TV-vWa Optimization_2Trig-1TEL-TV-vWaOpti1__OV_C1_top_left_07-12-2025_07-30-2025-13-52-34</t>
        </is>
      </c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23" t="inlineStr">
        <is>
          <t>Days to 1st Crystal:</t>
        </is>
      </c>
      <c r="C39" s="24" t="inlineStr">
        <is>
          <t>18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23" t="inlineStr">
        <is>
          <t>Size of largest Crystal:</t>
        </is>
      </c>
      <c r="C40" s="24" t="inlineStr">
        <is>
          <t>18x2 um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23" t="inlineStr">
        <is>
          <t>Number of harvestable crystals:</t>
        </is>
      </c>
      <c r="C41" s="24" t="inlineStr">
        <is>
          <t>0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23" t="inlineStr">
        <is>
          <t>Shape:</t>
        </is>
      </c>
      <c r="C42" s="24" t="inlineStr">
        <is>
          <t>tiny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23" t="inlineStr">
        <is>
          <t>Contaminants:</t>
        </is>
      </c>
      <c r="C43" s="24" t="inlineStr">
        <is>
          <t>Possible salt crystals: False, precipitation: False, microcrystals: True, glassy protein or artifacts: False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25" t="inlineStr">
        <is>
          <t>Notes:</t>
        </is>
      </c>
      <c r="C44" s="26" t="inlineStr">
        <is>
          <t xml:space="preserve">tiny 
</t>
        </is>
      </c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_xlfn.TEXTJOIN("",FALSE,$H$3,"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21">
        <f>_xlfn.TEXTJOIN("",FALSE,$H$1," mg/mL")</f>
        <v/>
      </c>
      <c r="C53" s="22" t="inlineStr">
        <is>
          <t>1TEL_2Trig-1TEL-TV-vWa Optimization_2Trig-1TEL-TV-vWaOpti1__OV_D1_top_left_07-12-2025_07-30-2025-13-52-34</t>
        </is>
      </c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23" t="inlineStr">
        <is>
          <t>Days to 1st Crystal:</t>
        </is>
      </c>
      <c r="C54" s="24" t="inlineStr">
        <is>
          <t>18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23" t="inlineStr">
        <is>
          <t>Size of largest Crystal:</t>
        </is>
      </c>
      <c r="C55" s="24" t="inlineStr">
        <is>
          <t>19x5 um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23" t="inlineStr">
        <is>
          <t>Number of harvestable crystals:</t>
        </is>
      </c>
      <c r="C56" s="24" t="inlineStr">
        <is>
          <t>0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23" t="inlineStr">
        <is>
          <t>Shape:</t>
        </is>
      </c>
      <c r="C57" s="24" t="inlineStr">
        <is>
          <t>tiny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23" t="inlineStr">
        <is>
          <t>Contaminants:</t>
        </is>
      </c>
      <c r="C58" s="24" t="inlineStr">
        <is>
          <t>Possible salt crystals: False, precipitation: False, microcrystals: True, glassy protein or artifacts: False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25" t="inlineStr">
        <is>
          <t>Notes:</t>
        </is>
      </c>
      <c r="C59" s="26" t="inlineStr">
        <is>
          <t xml:space="preserve">tiny 
</t>
        </is>
      </c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hyperlinks>
    <hyperlink xmlns:r="http://schemas.openxmlformats.org/officeDocument/2006/relationships" ref="C23" r:id="rId1"/>
    <hyperlink xmlns:r="http://schemas.openxmlformats.org/officeDocument/2006/relationships" ref="C38" r:id="rId2"/>
    <hyperlink xmlns:r="http://schemas.openxmlformats.org/officeDocument/2006/relationships" ref="C53" r:id="rId3"/>
  </hyperlinks>
  <pageMargins left="0" right="0" top="0" bottom="0" header="0" footer="0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06-03-2025_PI_2Trig-1TEL-TV-vWa_1</t>
        </is>
      </c>
      <c r="C1" s="7" t="inlineStr">
        <is>
          <t>Date set:</t>
        </is>
      </c>
      <c r="D1" s="2" t="inlineStr">
        <is>
          <t>06-03-2025</t>
        </is>
      </c>
      <c r="G1" s="7" t="inlineStr">
        <is>
          <t>Enter the top-left subwell concentration:</t>
        </is>
      </c>
      <c r="H1" s="2" t="inlineStr">
        <is>
          <t>15</t>
        </is>
      </c>
      <c r="J1" s="8" t="inlineStr">
        <is>
          <t>All tags:</t>
        </is>
      </c>
      <c r="K1" s="2" t="inlineStr">
        <is>
          <t xml:space="preserve">06-03-2025, PEG_Ion__PI, 2Trig-1TEL-TV-vWa, 15, 20, 1, 1TEL, 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inlineStr">
        <is>
          <t>20</t>
        </is>
      </c>
    </row>
    <row r="3" ht="15" customHeight="1">
      <c r="C3" s="8" t="inlineStr">
        <is>
          <t>Crystal Screen:</t>
        </is>
      </c>
      <c r="D3" s="2" t="inlineStr">
        <is>
          <t>PEG_Ion__PI</t>
        </is>
      </c>
      <c r="G3" s="7" t="inlineStr">
        <is>
          <t>Enter the bottom-left subwell concentration:</t>
        </is>
      </c>
      <c r="H3" s="2" t="inlineStr">
        <is>
          <t>1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2Trig-1TEL-TV-vWa</t>
        </is>
      </c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21">
        <f>_xlfn.TEXTJOIN("",FALSE,$H$1," mg/mL")</f>
        <v/>
      </c>
      <c r="R38" s="22" t="inlineStr">
        <is>
          <t>1TEL_2Trig-1TEL-TV-vWa_PEG_Ion__PI_C4_top_left_06-03-2025_07-30-2025-14-29-28</t>
        </is>
      </c>
      <c r="S38" s="21">
        <f>_xlfn.TEXTJOIN("",FALSE,$H$2," mg/mL")</f>
        <v/>
      </c>
      <c r="T38" s="29" t="inlineStr">
        <is>
          <t>1TEL_2Trig-1TEL-TV-vWa_PEG_Ion__PI_C4_top_right_06-03-2025_07-30-2025-14-29-28</t>
        </is>
      </c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23" t="inlineStr">
        <is>
          <t>Days to 1st Crystal:</t>
        </is>
      </c>
      <c r="R39" s="24" t="inlineStr">
        <is>
          <t>57</t>
        </is>
      </c>
      <c r="S39" s="23" t="inlineStr">
        <is>
          <t>Days to 1st Crystal:</t>
        </is>
      </c>
      <c r="T39" s="29" t="inlineStr">
        <is>
          <t>57</t>
        </is>
      </c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23" t="inlineStr">
        <is>
          <t>Size of largest Crystal:</t>
        </is>
      </c>
      <c r="R40" s="24" t="inlineStr">
        <is>
          <t>30x24 um</t>
        </is>
      </c>
      <c r="S40" s="23" t="inlineStr">
        <is>
          <t>Size of largest Crystal:</t>
        </is>
      </c>
      <c r="T40" s="29" t="inlineStr">
        <is>
          <t>20x20 um</t>
        </is>
      </c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23" t="inlineStr">
        <is>
          <t>Number of harvestable crystals:</t>
        </is>
      </c>
      <c r="R41" s="24" t="inlineStr">
        <is>
          <t>16</t>
        </is>
      </c>
      <c r="S41" s="23" t="inlineStr">
        <is>
          <t>Number of harvestable crystals:</t>
        </is>
      </c>
      <c r="T41" s="29" t="inlineStr">
        <is>
          <t>0</t>
        </is>
      </c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23" t="inlineStr">
        <is>
          <t>Shape:</t>
        </is>
      </c>
      <c r="R42" s="24" t="inlineStr">
        <is>
          <t>Circle</t>
        </is>
      </c>
      <c r="S42" s="23" t="inlineStr">
        <is>
          <t>Shape:</t>
        </is>
      </c>
      <c r="T42" s="29" t="inlineStr">
        <is>
          <t>tiny</t>
        </is>
      </c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23" t="inlineStr">
        <is>
          <t>Contaminants:</t>
        </is>
      </c>
      <c r="R43" s="24" t="inlineStr">
        <is>
          <t>Possible salt crystals: False, precipitation: False, microcrystals: True, glassy protein or artifacts: False</t>
        </is>
      </c>
      <c r="S43" s="23" t="inlineStr">
        <is>
          <t>Contaminants:</t>
        </is>
      </c>
      <c r="T43" s="29" t="inlineStr">
        <is>
          <t>Possible salt crystals: False, precipitation: False, microcrystals: True, glassy protein or artifacts: False</t>
        </is>
      </c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25" t="inlineStr">
        <is>
          <t>Notes:</t>
        </is>
      </c>
      <c r="R44" s="26" t="inlineStr">
        <is>
          <t xml:space="preserve">Smallish
</t>
        </is>
      </c>
      <c r="S44" s="25" t="inlineStr">
        <is>
          <t>Notes:</t>
        </is>
      </c>
      <c r="T44" s="30" t="inlineStr">
        <is>
          <t xml:space="preserve">tiny
</t>
        </is>
      </c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21">
        <f>_xlfn.TEXTJOIN("",FALSE,$H$3," mg/mL")</f>
        <v/>
      </c>
      <c r="R45" s="22" t="inlineStr">
        <is>
          <t>1TEL_2Trig-1TEL-TV-vWa_PEG_Ion__PI_C4_bottom_left_06-03-2025_07-30-2025-14-29-28</t>
        </is>
      </c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23" t="inlineStr">
        <is>
          <t>Days to 1st Crystal:</t>
        </is>
      </c>
      <c r="R46" s="24" t="inlineStr">
        <is>
          <t>57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23" t="inlineStr">
        <is>
          <t>Size of largest Crystal:</t>
        </is>
      </c>
      <c r="R47" s="24" t="inlineStr">
        <is>
          <t>16x11 um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23" t="inlineStr">
        <is>
          <t>Number of harvestable crystals:</t>
        </is>
      </c>
      <c r="R48" s="24" t="inlineStr">
        <is>
          <t>0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23" t="inlineStr">
        <is>
          <t>Shape:</t>
        </is>
      </c>
      <c r="R49" s="24" t="inlineStr">
        <is>
          <t>small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23" t="inlineStr">
        <is>
          <t>Contaminants:</t>
        </is>
      </c>
      <c r="R50" s="24" t="inlineStr">
        <is>
          <t>Possible salt crystals: False, precipitation: False, microcrystals: True, glassy protein or artifacts: False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27" t="inlineStr">
        <is>
          <t>Notes:</t>
        </is>
      </c>
      <c r="R51" s="28" t="inlineStr">
        <is>
          <t xml:space="preserve">small
</t>
        </is>
      </c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hyperlinks>
    <hyperlink xmlns:r="http://schemas.openxmlformats.org/officeDocument/2006/relationships" ref="R38" r:id="rId1"/>
    <hyperlink xmlns:r="http://schemas.openxmlformats.org/officeDocument/2006/relationships" ref="T38" r:id="rId2"/>
    <hyperlink xmlns:r="http://schemas.openxmlformats.org/officeDocument/2006/relationships" ref="R45" r:id="rId3"/>
  </hyperlinks>
  <pageMargins left="0" right="0" top="0" bottom="0" header="0" footer="0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07-30-2025_SR_HSP47_1</t>
        </is>
      </c>
      <c r="C1" s="7" t="inlineStr">
        <is>
          <t>Date set:</t>
        </is>
      </c>
      <c r="D1" s="2" t="inlineStr">
        <is>
          <t>07-30-2025</t>
        </is>
      </c>
      <c r="G1" s="7" t="inlineStr">
        <is>
          <t>Enter the top-left subwell concentration:</t>
        </is>
      </c>
      <c r="H1" s="2" t="n"/>
      <c r="J1" s="8" t="inlineStr">
        <is>
          <t>All tags:</t>
        </is>
      </c>
      <c r="K1" s="2" t="inlineStr">
        <is>
          <t xml:space="preserve">07-30-2025, Salt_Rx__SR, HSP47, , , , no TELSAM, </t>
        </is>
      </c>
    </row>
    <row r="2" ht="15" customHeight="1">
      <c r="C2" s="8" t="inlineStr">
        <is>
          <t>Crystallization Chaperone:</t>
        </is>
      </c>
      <c r="D2" s="2" t="inlineStr">
        <is>
          <t>no TELSAM</t>
        </is>
      </c>
      <c r="G2" s="7" t="inlineStr">
        <is>
          <t>Enter the top-right subwell concentration:</t>
        </is>
      </c>
      <c r="H2" s="2" t="n"/>
    </row>
    <row r="3" ht="15" customHeight="1">
      <c r="C3" s="8" t="inlineStr">
        <is>
          <t>Crystal Screen:</t>
        </is>
      </c>
      <c r="D3" s="2" t="inlineStr">
        <is>
          <t>Salt_Rx__SR</t>
        </is>
      </c>
      <c r="G3" s="7" t="inlineStr">
        <is>
          <t>Enter the bottom-left subwell concentration:</t>
        </is>
      </c>
      <c r="H3" s="2" t="n"/>
    </row>
    <row r="4" ht="15.75" customHeight="1">
      <c r="A4" s="1" t="n"/>
      <c r="C4" s="8" t="inlineStr">
        <is>
          <t>Target Protein:</t>
        </is>
      </c>
      <c r="D4" s="2" t="inlineStr">
        <is>
          <t>HSP47</t>
        </is>
      </c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_xlfn.TEXTJOIN("",FALSE,$H$3,"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21">
        <f>_xlfn.TEXTJOIN("",FALSE,$H$1," mg/mL")</f>
        <v/>
      </c>
      <c r="AV68" s="22" t="inlineStr">
        <is>
          <t>no TELSAM_HSP47_Salt_Rx__SR_E10__07-30-2025_07-31-2025-10-54-36</t>
        </is>
      </c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23" t="inlineStr">
        <is>
          <t>Days to 1st Crystal:</t>
        </is>
      </c>
      <c r="AV69" s="24" t="inlineStr">
        <is>
          <t>1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23" t="inlineStr">
        <is>
          <t>Size of largest Crystal:</t>
        </is>
      </c>
      <c r="AV70" s="24" t="inlineStr">
        <is>
          <t>38x119 um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23" t="inlineStr">
        <is>
          <t>Number of harvestable crystals:</t>
        </is>
      </c>
      <c r="AV71" s="24" t="inlineStr">
        <is>
          <t>20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23" t="inlineStr">
        <is>
          <t>Shape:</t>
        </is>
      </c>
      <c r="AV72" s="24" t="inlineStr">
        <is>
          <t>short rods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23" t="inlineStr">
        <is>
          <t>Contaminants:</t>
        </is>
      </c>
      <c r="AV73" s="24" t="inlineStr">
        <is>
          <t>Possible salt crystals: False, precipitation: False, microcrystals: False, glassy protein or artifacts: False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25" t="inlineStr">
        <is>
          <t>Notes:</t>
        </is>
      </c>
      <c r="AV74" s="2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21">
        <f>_xlfn.TEXTJOIN("",FALSE,$H$3," mg/mL")</f>
        <v/>
      </c>
      <c r="M75" s="22" t="inlineStr">
        <is>
          <t>no TELSAM_HSP47_Salt_Rx__SR_E3_bottom_left_07-30-2025_07-31-2025-10-54-36</t>
        </is>
      </c>
      <c r="N75" s="3" t="n"/>
      <c r="O75" s="16" t="n"/>
      <c r="P75" s="15" t="inlineStr">
        <is>
          <t>E</t>
        </is>
      </c>
      <c r="Q75" s="21">
        <f>_xlfn.TEXTJOIN("",FALSE,$H$3," mg/mL")</f>
        <v/>
      </c>
      <c r="R75" s="22" t="inlineStr">
        <is>
          <t>no TELSAM_HSP47_Salt_Rx__SR_E4_bottom_left_07-30-2025_07-31-2025-10-54-36</t>
        </is>
      </c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21">
        <f>_xlfn.TEXTJOIN("",FALSE,$H$3," mg/mL")</f>
        <v/>
      </c>
      <c r="AG75" s="22" t="inlineStr">
        <is>
          <t>no TELSAM_HSP47_Salt_Rx__SR_E7_bottom_left_07-30-2025_07-31-2025-10-54-36</t>
        </is>
      </c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23" t="inlineStr">
        <is>
          <t>Days to 1st Crystal:</t>
        </is>
      </c>
      <c r="M76" s="24" t="inlineStr">
        <is>
          <t>1</t>
        </is>
      </c>
      <c r="N76" s="3" t="n"/>
      <c r="O76" s="16" t="n"/>
      <c r="P76" s="15" t="inlineStr">
        <is>
          <t>E</t>
        </is>
      </c>
      <c r="Q76" s="23" t="inlineStr">
        <is>
          <t>Days to 1st Crystal:</t>
        </is>
      </c>
      <c r="R76" s="24" t="inlineStr">
        <is>
          <t>1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23" t="inlineStr">
        <is>
          <t>Days to 1st Crystal:</t>
        </is>
      </c>
      <c r="AG76" s="24" t="inlineStr">
        <is>
          <t>1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23" t="inlineStr">
        <is>
          <t>Size of largest Crystal:</t>
        </is>
      </c>
      <c r="M77" s="24" t="inlineStr">
        <is>
          <t>20x73 um</t>
        </is>
      </c>
      <c r="N77" s="3" t="n"/>
      <c r="O77" s="16" t="n"/>
      <c r="P77" s="15" t="inlineStr">
        <is>
          <t>E</t>
        </is>
      </c>
      <c r="Q77" s="23" t="inlineStr">
        <is>
          <t>Size of largest Crystal:</t>
        </is>
      </c>
      <c r="R77" s="24" t="inlineStr">
        <is>
          <t>19x46 um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23" t="inlineStr">
        <is>
          <t>Size of largest Crystal:</t>
        </is>
      </c>
      <c r="AG77" s="24" t="inlineStr">
        <is>
          <t>24x56 um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23" t="inlineStr">
        <is>
          <t>Number of harvestable crystals:</t>
        </is>
      </c>
      <c r="M78" s="24" t="n"/>
      <c r="N78" s="3" t="n"/>
      <c r="O78" s="16" t="n"/>
      <c r="P78" s="15" t="inlineStr">
        <is>
          <t>E</t>
        </is>
      </c>
      <c r="Q78" s="23" t="inlineStr">
        <is>
          <t>Number of harvestable crystals:</t>
        </is>
      </c>
      <c r="R78" s="24" t="inlineStr">
        <is>
          <t>20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23" t="inlineStr">
        <is>
          <t>Number of harvestable crystals:</t>
        </is>
      </c>
      <c r="AG78" s="24" t="inlineStr">
        <is>
          <t>30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23" t="inlineStr">
        <is>
          <t>Shape:</t>
        </is>
      </c>
      <c r="M79" s="24" t="n"/>
      <c r="N79" s="3" t="n"/>
      <c r="O79" s="16" t="n"/>
      <c r="P79" s="15" t="inlineStr">
        <is>
          <t>E</t>
        </is>
      </c>
      <c r="Q79" s="23" t="inlineStr">
        <is>
          <t>Shape:</t>
        </is>
      </c>
      <c r="R79" s="24" t="inlineStr">
        <is>
          <t>short rods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23" t="inlineStr">
        <is>
          <t>Shape:</t>
        </is>
      </c>
      <c r="AG79" s="24" t="inlineStr">
        <is>
          <t>short rods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23" t="inlineStr">
        <is>
          <t>Contaminants:</t>
        </is>
      </c>
      <c r="M80" s="24" t="inlineStr">
        <is>
          <t>Possible salt crystals: False, precipitation: False, microcrystals: False, glassy protein or artifacts: False</t>
        </is>
      </c>
      <c r="N80" s="3" t="n"/>
      <c r="O80" s="16" t="n"/>
      <c r="P80" s="15" t="inlineStr">
        <is>
          <t>E</t>
        </is>
      </c>
      <c r="Q80" s="23" t="inlineStr">
        <is>
          <t>Contaminants:</t>
        </is>
      </c>
      <c r="R80" s="24" t="inlineStr">
        <is>
          <t>Possible salt crystals: False, precipitation: False, microcrystals: False, glassy protein or artifacts: False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23" t="inlineStr">
        <is>
          <t>Contaminants:</t>
        </is>
      </c>
      <c r="AG80" s="24" t="inlineStr">
        <is>
          <t>Possible salt crystals: False, precipitation: False, microcrystals: False, glassy protein or artifacts: False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27" t="inlineStr">
        <is>
          <t>Notes:</t>
        </is>
      </c>
      <c r="M81" s="28" t="n"/>
      <c r="N81" s="19" t="n"/>
      <c r="O81" s="20" t="n"/>
      <c r="P81" s="18" t="inlineStr">
        <is>
          <t>E</t>
        </is>
      </c>
      <c r="Q81" s="27" t="inlineStr">
        <is>
          <t>Notes:</t>
        </is>
      </c>
      <c r="R81" s="28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27" t="inlineStr">
        <is>
          <t>Notes:</t>
        </is>
      </c>
      <c r="AG81" s="28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21">
        <f>_xlfn.TEXTJOIN("",FALSE,$H$1," mg/mL")</f>
        <v/>
      </c>
      <c r="R98" s="22" t="inlineStr">
        <is>
          <t>no TELSAM_HSP47_Salt_Rx__SR_G4__07-30-2025_07-31-2025-10-54-36</t>
        </is>
      </c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23" t="inlineStr">
        <is>
          <t>Days to 1st Crystal:</t>
        </is>
      </c>
      <c r="R99" s="24" t="inlineStr">
        <is>
          <t>1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23" t="inlineStr">
        <is>
          <t>Size of largest Crystal:</t>
        </is>
      </c>
      <c r="R100" s="24" t="inlineStr">
        <is>
          <t>39x121 um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23" t="inlineStr">
        <is>
          <t>Number of harvestable crystals:</t>
        </is>
      </c>
      <c r="R101" s="24" t="n"/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23" t="inlineStr">
        <is>
          <t>Shape:</t>
        </is>
      </c>
      <c r="R102" s="24" t="n"/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23" t="inlineStr">
        <is>
          <t>Contaminants:</t>
        </is>
      </c>
      <c r="R103" s="24" t="inlineStr">
        <is>
          <t>Possible salt crystals: False, precipitation: False, microcrystals: False, glassy protein or artifacts: False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25" t="inlineStr">
        <is>
          <t>Notes:</t>
        </is>
      </c>
      <c r="R104" s="2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hyperlinks>
    <hyperlink xmlns:r="http://schemas.openxmlformats.org/officeDocument/2006/relationships" ref="M75" r:id="rId1"/>
    <hyperlink xmlns:r="http://schemas.openxmlformats.org/officeDocument/2006/relationships" ref="R75" r:id="rId2"/>
    <hyperlink xmlns:r="http://schemas.openxmlformats.org/officeDocument/2006/relationships" ref="R98" r:id="rId3"/>
  </hyperlinks>
  <pageMargins left="0" right="0" top="0" bottom="0" header="0" footer="0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07-30-2025_IN_HisHSP47_1</t>
        </is>
      </c>
      <c r="C1" s="7" t="inlineStr">
        <is>
          <t>Date set:</t>
        </is>
      </c>
      <c r="D1" s="2" t="inlineStr">
        <is>
          <t>07-30-2025</t>
        </is>
      </c>
      <c r="G1" s="7" t="inlineStr">
        <is>
          <t>Enter the top-left subwell concentration:</t>
        </is>
      </c>
      <c r="H1" s="2" t="inlineStr">
        <is>
          <t>0</t>
        </is>
      </c>
      <c r="J1" s="8" t="inlineStr">
        <is>
          <t>All tags:</t>
        </is>
      </c>
      <c r="K1" s="2" t="inlineStr">
        <is>
          <t xml:space="preserve">07-30-2025, Index__IN, HisHSP47, 0, 0, 5, , </t>
        </is>
      </c>
    </row>
    <row r="2" ht="15" customHeight="1">
      <c r="C2" s="8" t="inlineStr">
        <is>
          <t>Crystallization Chaperone:</t>
        </is>
      </c>
      <c r="D2" s="2" t="n"/>
      <c r="G2" s="7" t="inlineStr">
        <is>
          <t>Enter the top-right subwell concentration:</t>
        </is>
      </c>
      <c r="H2" s="2" t="inlineStr">
        <is>
          <t>0</t>
        </is>
      </c>
    </row>
    <row r="3" ht="15" customHeight="1">
      <c r="C3" s="8" t="inlineStr">
        <is>
          <t>Crystal Screen:</t>
        </is>
      </c>
      <c r="D3" s="2" t="inlineStr">
        <is>
          <t>Index__IN</t>
        </is>
      </c>
      <c r="G3" s="7" t="inlineStr">
        <is>
          <t>Enter the bottom-left subwell concentration:</t>
        </is>
      </c>
      <c r="H3" s="2" t="inlineStr">
        <is>
          <t>5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HisHSP47</t>
        </is>
      </c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21">
        <f>_xlfn.TEXTJOIN("",FALSE,$H$3," mg/mL")</f>
        <v/>
      </c>
      <c r="C15" s="22" t="inlineStr">
        <is>
          <t>_HisHSP47_Index__IN_A1_bottom_left_07-30-2025_08-01-2025-09-32-07</t>
        </is>
      </c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23" t="inlineStr">
        <is>
          <t>Days to 1st Crystal:</t>
        </is>
      </c>
      <c r="C16" s="24" t="n"/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23" t="inlineStr">
        <is>
          <t>Size of largest Crystal:</t>
        </is>
      </c>
      <c r="C17" s="24" t="inlineStr">
        <is>
          <t>39x247 um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23" t="inlineStr">
        <is>
          <t>Number of harvestable crystals:</t>
        </is>
      </c>
      <c r="C18" s="24" t="inlineStr">
        <is>
          <t>1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23" t="inlineStr">
        <is>
          <t>Shape:</t>
        </is>
      </c>
      <c r="C19" s="24" t="inlineStr">
        <is>
          <t>Rod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23" t="inlineStr">
        <is>
          <t>Contaminants:</t>
        </is>
      </c>
      <c r="C20" s="24" t="inlineStr">
        <is>
          <t>Possible salt crystals: False, precipitation: False, microcrystals: False, glassy protein or artifacts: False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27" t="inlineStr">
        <is>
          <t>Notes:</t>
        </is>
      </c>
      <c r="C21" s="28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_xlfn.TEXTJOIN("",FALSE,$H$3,"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21">
        <f>_xlfn.TEXTJOIN("",FALSE,$H$3," mg/mL")</f>
        <v/>
      </c>
      <c r="R60" s="22" t="inlineStr">
        <is>
          <t>_HisHSP47_Index__IN_D4_bottom_left_07-30-2025_08-01-2025-09-32-07</t>
        </is>
      </c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23" t="inlineStr">
        <is>
          <t>Days to 1st Crystal:</t>
        </is>
      </c>
      <c r="R61" s="24" t="n"/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23" t="inlineStr">
        <is>
          <t>Size of largest Crystal:</t>
        </is>
      </c>
      <c r="R62" s="24" t="inlineStr">
        <is>
          <t>98x115 um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23" t="inlineStr">
        <is>
          <t>Number of harvestable crystals:</t>
        </is>
      </c>
      <c r="R63" s="24" t="inlineStr">
        <is>
          <t>2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23" t="inlineStr">
        <is>
          <t>Shape:</t>
        </is>
      </c>
      <c r="R64" s="24" t="inlineStr">
        <is>
          <t>Prism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23" t="inlineStr">
        <is>
          <t>Contaminants:</t>
        </is>
      </c>
      <c r="R65" s="24" t="inlineStr">
        <is>
          <t>Possible salt crystals: False, precipitation: False, microcrystals: False, glassy protein or artifacts: False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27" t="inlineStr">
        <is>
          <t>Notes:</t>
        </is>
      </c>
      <c r="R66" s="28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hyperlinks>
    <hyperlink xmlns:r="http://schemas.openxmlformats.org/officeDocument/2006/relationships" ref="C15" r:id="rId1"/>
    <hyperlink xmlns:r="http://schemas.openxmlformats.org/officeDocument/2006/relationships" ref="R60" r:id="rId2"/>
  </hyperlinks>
  <pageMargins left="0" right="0" top="0" bottom="0" header="0" footer="0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BH126"/>
  <sheetViews>
    <sheetView tabSelected="1" zoomScaleNormal="100" workbookViewId="0">
      <selection activeCell="E6" sqref="E6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08-01-2025_SR_His-2TEL-R-hsp47_1</t>
        </is>
      </c>
      <c r="C1" s="7" t="inlineStr">
        <is>
          <t>Date set:</t>
        </is>
      </c>
      <c r="D1" s="2" t="inlineStr">
        <is>
          <t>08-01-2025</t>
        </is>
      </c>
      <c r="G1" s="7" t="inlineStr">
        <is>
          <t>Enter the top-left subwell concentration:</t>
        </is>
      </c>
      <c r="H1" s="2" t="inlineStr">
        <is>
          <t>5</t>
        </is>
      </c>
      <c r="J1" s="8" t="inlineStr">
        <is>
          <t>All tags:</t>
        </is>
      </c>
      <c r="K1" s="2" t="inlineStr">
        <is>
          <t xml:space="preserve">08-01-2025, Salt_Rx__SR, His-2TEL-R-hsp47, 5, 24, , 2TEL, </t>
        </is>
      </c>
    </row>
    <row r="2" ht="15" customHeight="1">
      <c r="C2" s="8" t="inlineStr">
        <is>
          <t>Crystallization Chaperone:</t>
        </is>
      </c>
      <c r="D2" s="2" t="inlineStr">
        <is>
          <t>2TEL</t>
        </is>
      </c>
      <c r="G2" s="7" t="inlineStr">
        <is>
          <t>Enter the top-right subwell concentration:</t>
        </is>
      </c>
      <c r="H2" s="2" t="inlineStr">
        <is>
          <t>24</t>
        </is>
      </c>
    </row>
    <row r="3" ht="15" customHeight="1">
      <c r="C3" s="8" t="inlineStr">
        <is>
          <t>Crystal Screen:</t>
        </is>
      </c>
      <c r="D3" s="2" t="inlineStr">
        <is>
          <t>Salt_Rx__SR</t>
        </is>
      </c>
      <c r="G3" s="7" t="inlineStr">
        <is>
          <t>Enter the bottom-left subwell concentration:</t>
        </is>
      </c>
      <c r="H3" s="2" t="n"/>
    </row>
    <row r="4" ht="15.75" customHeight="1">
      <c r="A4" s="1" t="n"/>
      <c r="C4" s="8" t="inlineStr">
        <is>
          <t>Target Protein:</t>
        </is>
      </c>
      <c r="D4" s="2" t="inlineStr">
        <is>
          <t>His-2TEL-R-hsp47</t>
        </is>
      </c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_xlfn.TEXTJOIN("",FALSE,$H$3,"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pageMargins left="0" right="0" top="0" bottom="0" header="0" footer="0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08-02-2025_CS_TELSAM_1</t>
        </is>
      </c>
      <c r="C1" s="7" t="inlineStr">
        <is>
          <t>Date set:</t>
        </is>
      </c>
      <c r="D1" s="2" t="inlineStr">
        <is>
          <t>08-02-2025</t>
        </is>
      </c>
      <c r="G1" s="7" t="inlineStr">
        <is>
          <t>Enter the top-left subwell concentration:</t>
        </is>
      </c>
      <c r="H1" s="2" t="inlineStr">
        <is>
          <t>1</t>
        </is>
      </c>
      <c r="J1" s="8" t="inlineStr">
        <is>
          <t>All tags:</t>
        </is>
      </c>
      <c r="K1" s="2" t="inlineStr">
        <is>
          <t xml:space="preserve">08-02-2025, Crystal_Screen__CS, TELSAM, 1, 1, 1, 1TEL, 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inlineStr">
        <is>
          <t>1</t>
        </is>
      </c>
    </row>
    <row r="3" ht="15" customHeight="1">
      <c r="C3" s="8" t="inlineStr">
        <is>
          <t>Crystal Screen:</t>
        </is>
      </c>
      <c r="D3" s="2" t="inlineStr">
        <is>
          <t>Crystal_Screen__CS</t>
        </is>
      </c>
      <c r="G3" s="7" t="inlineStr">
        <is>
          <t>Enter the bottom-left subwell concentration:</t>
        </is>
      </c>
      <c r="H3" s="2" t="inlineStr">
        <is>
          <t>1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TELSAM</t>
        </is>
      </c>
    </row>
    <row r="5" ht="15" customHeight="1">
      <c r="C5" s="8" t="inlineStr">
        <is>
          <t>Custom Tags:</t>
        </is>
      </c>
      <c r="D5" s="2" t="inlineStr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1">
        <f>_xlfn.TEXTJOIN("",FALSE,$H$1," mg/mL")</f>
        <v/>
      </c>
      <c r="C8" s="32" t="inlineStr">
        <is>
          <t>1TEL_TELSAM_Crystal_Screen__CS_A1_top_left_08-02-2025_08-02-2025-15-33-34</t>
        </is>
      </c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33" t="inlineStr">
        <is>
          <t>Days to 1st Crystal:</t>
        </is>
      </c>
      <c r="C9" s="34" t="n"/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33" t="inlineStr">
        <is>
          <t>Size of largest Crystal:</t>
        </is>
      </c>
      <c r="C10" s="34" t="inlineStr">
        <is>
          <t>237x239 um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33" t="inlineStr">
        <is>
          <t>Number of harvestable crystals:</t>
        </is>
      </c>
      <c r="C11" s="34" t="inlineStr">
        <is>
          <t>0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33" t="inlineStr">
        <is>
          <t>Shape:</t>
        </is>
      </c>
      <c r="C12" s="34" t="inlineStr">
        <is>
          <t>None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33" t="inlineStr">
        <is>
          <t>Contaminants:</t>
        </is>
      </c>
      <c r="C13" s="34" t="inlineStr">
        <is>
          <t>Possible salt crystals: False, precipitation: False, microcrystals: False, glassy protein or artifacts: False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35" t="inlineStr">
        <is>
          <t>Notes:</t>
        </is>
      </c>
      <c r="C14" s="36" t="inlineStr">
        <is>
          <t xml:space="preserve">YARK
</t>
        </is>
      </c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1">
        <f>_xlfn.TEXTJOIN("",FALSE,$H$1," mg/mL")</f>
        <v/>
      </c>
      <c r="C23" s="32" t="inlineStr">
        <is>
          <t>1TEL_TELSAM_Crystal_Screen__CS_B1_top_left_08-02-2025_08-02-2025-15-34-15</t>
        </is>
      </c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33" t="inlineStr">
        <is>
          <t>Days to 1st Crystal:</t>
        </is>
      </c>
      <c r="C24" s="34" t="n"/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33" t="inlineStr">
        <is>
          <t>Size of largest Crystal:</t>
        </is>
      </c>
      <c r="C25" s="34" t="inlineStr">
        <is>
          <t>403x350 um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33" t="inlineStr">
        <is>
          <t>Number of harvestable crystals:</t>
        </is>
      </c>
      <c r="C26" s="34" t="inlineStr">
        <is>
          <t>0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33" t="inlineStr">
        <is>
          <t>Shape:</t>
        </is>
      </c>
      <c r="C27" s="34" t="inlineStr"/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33" t="inlineStr">
        <is>
          <t>Contaminants:</t>
        </is>
      </c>
      <c r="C28" s="34" t="inlineStr">
        <is>
          <t>Possible salt crystals: False, precipitation: False, microcrystals: False, glassy protein or artifacts: False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35" t="inlineStr">
        <is>
          <t>Notes:</t>
        </is>
      </c>
      <c r="C29" s="36" t="inlineStr">
        <is>
          <t xml:space="preserve">BIBE
</t>
        </is>
      </c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_xlfn.TEXTJOIN("",FALSE,$H$3,"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hyperlinks>
    <hyperlink xmlns:r="http://schemas.openxmlformats.org/officeDocument/2006/relationships" ref="C8" r:id="rId1"/>
    <hyperlink xmlns:r="http://schemas.openxmlformats.org/officeDocument/2006/relationships" ref="C23" r:id="rId2"/>
  </hyperlinks>
  <pageMargins left="0" right="0" top="0" bottom="0" header="0" footer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2025-05-13T19:48:10Z</dcterms:created>
  <dcterms:modified xsi:type="dcterms:W3CDTF">2025-08-02T21:34:28Z</dcterms:modified>
  <cp:lastModifiedBy>Miles Bradford</cp:lastModifiedBy>
</cp:coreProperties>
</file>